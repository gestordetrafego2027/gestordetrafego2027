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a" sheetId="1" state="visible" r:id="rId1"/>
    <sheet xmlns:r="http://schemas.openxmlformats.org/officeDocument/2006/relationships" name="Resumo" sheetId="2" state="visible" r:id="rId2"/>
    <sheet xmlns:r="http://schemas.openxmlformats.org/officeDocument/2006/relationships" name="Regras Fornecedor" sheetId="3" state="visible" r:id="rId3"/>
    <sheet xmlns:r="http://schemas.openxmlformats.org/officeDocument/2006/relationships" name="P01" sheetId="4" state="visible" r:id="rId4"/>
    <sheet xmlns:r="http://schemas.openxmlformats.org/officeDocument/2006/relationships" name="P02" sheetId="5" state="visible" r:id="rId5"/>
    <sheet xmlns:r="http://schemas.openxmlformats.org/officeDocument/2006/relationships" name="P03" sheetId="6" state="visible" r:id="rId6"/>
    <sheet xmlns:r="http://schemas.openxmlformats.org/officeDocument/2006/relationships" name="P04" sheetId="7" state="visible" r:id="rId7"/>
    <sheet xmlns:r="http://schemas.openxmlformats.org/officeDocument/2006/relationships" name="P05" sheetId="8" state="visible" r:id="rId8"/>
    <sheet xmlns:r="http://schemas.openxmlformats.org/officeDocument/2006/relationships" name="P06" sheetId="9" state="visible" r:id="rId9"/>
    <sheet xmlns:r="http://schemas.openxmlformats.org/officeDocument/2006/relationships" name="P07" sheetId="10" state="visible" r:id="rId10"/>
    <sheet xmlns:r="http://schemas.openxmlformats.org/officeDocument/2006/relationships" name="P08" sheetId="11" state="visible" r:id="rId11"/>
    <sheet xmlns:r="http://schemas.openxmlformats.org/officeDocument/2006/relationships" name="P09" sheetId="12" state="visible" r:id="rId12"/>
    <sheet xmlns:r="http://schemas.openxmlformats.org/officeDocument/2006/relationships" name="P10" sheetId="13" state="visible" r:id="rId13"/>
    <sheet xmlns:r="http://schemas.openxmlformats.org/officeDocument/2006/relationships" name="P11" sheetId="14" state="visible" r:id="rId14"/>
    <sheet xmlns:r="http://schemas.openxmlformats.org/officeDocument/2006/relationships" name="P12" sheetId="15" state="visible" r:id="rId15"/>
    <sheet xmlns:r="http://schemas.openxmlformats.org/officeDocument/2006/relationships" name="P13" sheetId="16" state="visible" r:id="rId16"/>
    <sheet xmlns:r="http://schemas.openxmlformats.org/officeDocument/2006/relationships" name="P14" sheetId="17" state="visible" r:id="rId17"/>
    <sheet xmlns:r="http://schemas.openxmlformats.org/officeDocument/2006/relationships" name="P15" sheetId="18" state="visible" r:id="rId18"/>
    <sheet xmlns:r="http://schemas.openxmlformats.org/officeDocument/2006/relationships" name="P16" sheetId="19" state="visible" r:id="rId19"/>
    <sheet xmlns:r="http://schemas.openxmlformats.org/officeDocument/2006/relationships" name="P17" sheetId="20" state="visible" r:id="rId20"/>
    <sheet xmlns:r="http://schemas.openxmlformats.org/officeDocument/2006/relationships" name="P18" sheetId="21" state="visible" r:id="rId21"/>
    <sheet xmlns:r="http://schemas.openxmlformats.org/officeDocument/2006/relationships" name="P19" sheetId="22" state="visible" r:id="rId22"/>
    <sheet xmlns:r="http://schemas.openxmlformats.org/officeDocument/2006/relationships" name="P20" sheetId="23" state="visible" r:id="rId23"/>
    <sheet xmlns:r="http://schemas.openxmlformats.org/officeDocument/2006/relationships" name="P21" sheetId="24" state="visible" r:id="rId24"/>
    <sheet xmlns:r="http://schemas.openxmlformats.org/officeDocument/2006/relationships" name="P22" sheetId="25" state="visible" r:id="rId25"/>
    <sheet xmlns:r="http://schemas.openxmlformats.org/officeDocument/2006/relationships" name="P23" sheetId="26" state="visible" r:id="rId26"/>
    <sheet xmlns:r="http://schemas.openxmlformats.org/officeDocument/2006/relationships" name="P24" sheetId="27" state="visible" r:id="rId27"/>
    <sheet xmlns:r="http://schemas.openxmlformats.org/officeDocument/2006/relationships" name="P25" sheetId="28" state="visible" r:id="rId28"/>
    <sheet xmlns:r="http://schemas.openxmlformats.org/officeDocument/2006/relationships" name="P26" sheetId="29" state="visible" r:id="rId29"/>
    <sheet xmlns:r="http://schemas.openxmlformats.org/officeDocument/2006/relationships" name="P27" sheetId="30" state="visible" r:id="rId30"/>
    <sheet xmlns:r="http://schemas.openxmlformats.org/officeDocument/2006/relationships" name="P28" sheetId="31" state="visible" r:id="rId31"/>
    <sheet xmlns:r="http://schemas.openxmlformats.org/officeDocument/2006/relationships" name="P29" sheetId="32" state="visible" r:id="rId32"/>
    <sheet xmlns:r="http://schemas.openxmlformats.org/officeDocument/2006/relationships" name="Não Catalogados" sheetId="33" state="visible" r:id="rId33"/>
    <sheet xmlns:r="http://schemas.openxmlformats.org/officeDocument/2006/relationships" name="Pendências Gerais" sheetId="34" state="visible" r:id="rId34"/>
    <sheet xmlns:r="http://schemas.openxmlformats.org/officeDocument/2006/relationships" name="Prompts Lookbook" sheetId="35" state="visible" r:id="rId35"/>
  </sheets>
  <definedNames/>
  <calcPr calcId="124519" fullCalcOnLoad="1"/>
</workbook>
</file>

<file path=xl/styles.xml><?xml version="1.0" encoding="utf-8"?>
<styleSheet xmlns="http://schemas.openxmlformats.org/spreadsheetml/2006/main">
  <numFmts count="2">
    <numFmt numFmtId="164" formatCode="0.0%"/>
    <numFmt numFmtId="165" formatCode="R$ #,##0.00;(R$ #,##0.00);-"/>
  </numFmts>
  <fonts count="9">
    <font>
      <name val="Calibri"/>
      <family val="2"/>
      <color theme="1"/>
      <sz val="11"/>
      <scheme val="minor"/>
    </font>
    <font>
      <name val="Arial"/>
      <b val="1"/>
      <sz val="14"/>
    </font>
    <font>
      <name val="Arial"/>
      <sz val="10"/>
    </font>
    <font>
      <name val="Arial"/>
      <b val="1"/>
      <sz val="11"/>
    </font>
    <font>
      <name val="Arial"/>
      <b val="1"/>
      <sz val="10"/>
    </font>
    <font>
      <name val="Arial"/>
      <color rgb="000000FF"/>
      <sz val="10"/>
    </font>
    <font>
      <name val="Arial"/>
      <color rgb="00008000"/>
      <sz val="10"/>
    </font>
    <font>
      <name val="Arial"/>
      <b val="1"/>
      <sz val="13"/>
    </font>
    <font>
      <name val="Arial"/>
      <b val="1"/>
      <color rgb="00FFFFFF"/>
      <sz val="14"/>
    </font>
  </fonts>
  <fills count="8">
    <fill>
      <patternFill/>
    </fill>
    <fill>
      <patternFill patternType="gray125"/>
    </fill>
    <fill>
      <patternFill patternType="solid">
        <fgColor rgb="00FFFF00"/>
      </patternFill>
    </fill>
    <fill>
      <patternFill patternType="solid">
        <fgColor rgb="00F8D7DA"/>
      </patternFill>
    </fill>
    <fill>
      <patternFill patternType="solid">
        <fgColor rgb="00F2F2F2"/>
      </patternFill>
    </fill>
    <fill>
      <patternFill patternType="solid">
        <fgColor rgb="001F1F1F"/>
      </patternFill>
    </fill>
    <fill>
      <patternFill patternType="solid">
        <fgColor rgb="00D9D9D9"/>
      </patternFill>
    </fill>
    <fill>
      <patternFill patternType="solid">
        <fgColor rgb="00D4ED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2" fillId="2" borderId="0" applyAlignment="1" pivotButton="0" quotePrefix="0" xfId="0">
      <alignment vertical="top" wrapText="1"/>
    </xf>
    <xf numFmtId="0" fontId="2" fillId="3" borderId="0" applyAlignment="1" pivotButton="0" quotePrefix="0" xfId="0">
      <alignment vertical="top" wrapText="1"/>
    </xf>
    <xf numFmtId="0" fontId="4" fillId="4"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165" fontId="6" fillId="0" borderId="1" applyAlignment="1" pivotButton="0" quotePrefix="0" xfId="0">
      <alignment vertical="top" wrapText="1"/>
    </xf>
    <xf numFmtId="164" fontId="6" fillId="0" borderId="1" applyAlignment="1" pivotButton="0" quotePrefix="0" xfId="0">
      <alignment vertical="top" wrapText="1"/>
    </xf>
    <xf numFmtId="0" fontId="2" fillId="3" borderId="1" applyAlignment="1" pivotButton="0" quotePrefix="0" xfId="0">
      <alignment vertical="top" wrapText="1"/>
    </xf>
    <xf numFmtId="0" fontId="2" fillId="0" borderId="0" pivotButton="0" quotePrefix="0" xfId="0"/>
    <xf numFmtId="0" fontId="7" fillId="0" borderId="0" pivotButton="0" quotePrefix="0" xfId="0"/>
    <xf numFmtId="0" fontId="4" fillId="4" borderId="1" pivotButton="0" quotePrefix="0" xfId="0"/>
    <xf numFmtId="0" fontId="2" fillId="0" borderId="1" pivotButton="0" quotePrefix="0" xfId="0"/>
    <xf numFmtId="0" fontId="5" fillId="0" borderId="1" pivotButton="0" quotePrefix="0" xfId="0"/>
    <xf numFmtId="164" fontId="5" fillId="0" borderId="1" pivotButton="0" quotePrefix="0" xfId="0"/>
    <xf numFmtId="164" fontId="5" fillId="0" borderId="0" pivotButton="0" quotePrefix="0" xfId="0"/>
    <xf numFmtId="0" fontId="5" fillId="0" borderId="0" pivotButton="0" quotePrefix="0" xfId="0"/>
    <xf numFmtId="0" fontId="3" fillId="0" borderId="0" pivotButton="0" quotePrefix="0" xfId="0"/>
    <xf numFmtId="0" fontId="4" fillId="0" borderId="0" pivotButton="0" quotePrefix="0" xfId="0"/>
    <xf numFmtId="0" fontId="8" fillId="5" borderId="0" pivotButton="0" quotePrefix="0" xfId="0"/>
    <xf numFmtId="0" fontId="0" fillId="5" borderId="0" pivotButton="0" quotePrefix="0" xfId="0"/>
    <xf numFmtId="0" fontId="3" fillId="6" borderId="0" pivotButton="0" quotePrefix="0" xfId="0"/>
    <xf numFmtId="0" fontId="0" fillId="6" borderId="0" pivotButton="0" quotePrefix="0" xfId="0"/>
    <xf numFmtId="0" fontId="0" fillId="0" borderId="4" pivotButton="0" quotePrefix="0" xfId="0"/>
    <xf numFmtId="0" fontId="0" fillId="0" borderId="5" pivotButton="0" quotePrefix="0" xfId="0"/>
    <xf numFmtId="165" fontId="5" fillId="0" borderId="0" pivotButton="0" quotePrefix="0" xfId="0"/>
    <xf numFmtId="164" fontId="6" fillId="0" borderId="1" pivotButton="0" quotePrefix="0" xfId="0"/>
    <xf numFmtId="165" fontId="2" fillId="0" borderId="1" pivotButton="0" quotePrefix="0" xfId="0"/>
    <xf numFmtId="165" fontId="6" fillId="0" borderId="1" pivotButton="0" quotePrefix="0" xfId="0"/>
    <xf numFmtId="165" fontId="2" fillId="0" borderId="0" pivotButton="0" quotePrefix="0" xfId="0"/>
    <xf numFmtId="165" fontId="5" fillId="2" borderId="0" pivotButton="0" quotePrefix="0" xfId="0"/>
    <xf numFmtId="165" fontId="4" fillId="0" borderId="0" pivotButton="0" quotePrefix="0" xfId="0"/>
    <xf numFmtId="164" fontId="5" fillId="2" borderId="0" pivotButton="0" quotePrefix="0" xfId="0"/>
    <xf numFmtId="164" fontId="2" fillId="0" borderId="0" pivotButton="0" quotePrefix="0" xfId="0"/>
    <xf numFmtId="0" fontId="2" fillId="7" borderId="0" applyAlignment="1" pivotButton="0" quotePrefix="0" xfId="0">
      <alignment vertical="top" wrapText="1"/>
    </xf>
    <xf numFmtId="165"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comments/comment1.xml><?xml version="1.0" encoding="utf-8"?>
<comments xmlns="http://schemas.openxmlformats.org/spreadsheetml/2006/main">
  <authors>
    <author>Claude</author>
  </authors>
  <commentList>
    <comment ref="B59" authorId="0" shapeId="0">
      <text>
        <t>Confirmado no texto da Descrição Geral (a página estava esgotada).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01'!A1" TargetMode="External" Id="rId1"/><Relationship Type="http://schemas.openxmlformats.org/officeDocument/2006/relationships/hyperlink" Target="#'P02'!A1" TargetMode="External" Id="rId2"/><Relationship Type="http://schemas.openxmlformats.org/officeDocument/2006/relationships/hyperlink" Target="#'P03'!A1" TargetMode="External" Id="rId3"/><Relationship Type="http://schemas.openxmlformats.org/officeDocument/2006/relationships/hyperlink" Target="#'P04'!A1" TargetMode="External" Id="rId4"/><Relationship Type="http://schemas.openxmlformats.org/officeDocument/2006/relationships/hyperlink" Target="#'P05'!A1" TargetMode="External" Id="rId5"/><Relationship Type="http://schemas.openxmlformats.org/officeDocument/2006/relationships/hyperlink" Target="#'P06'!A1" TargetMode="External" Id="rId6"/><Relationship Type="http://schemas.openxmlformats.org/officeDocument/2006/relationships/hyperlink" Target="#'P07'!A1" TargetMode="External" Id="rId7"/><Relationship Type="http://schemas.openxmlformats.org/officeDocument/2006/relationships/hyperlink" Target="#'P08'!A1" TargetMode="External" Id="rId8"/><Relationship Type="http://schemas.openxmlformats.org/officeDocument/2006/relationships/hyperlink" Target="#'P09'!A1" TargetMode="External" Id="rId9"/><Relationship Type="http://schemas.openxmlformats.org/officeDocument/2006/relationships/hyperlink" Target="#'P10'!A1" TargetMode="External" Id="rId10"/><Relationship Type="http://schemas.openxmlformats.org/officeDocument/2006/relationships/hyperlink" Target="#'P11'!A1" TargetMode="External" Id="rId11"/><Relationship Type="http://schemas.openxmlformats.org/officeDocument/2006/relationships/hyperlink" Target="#'P12'!A1" TargetMode="External" Id="rId12"/><Relationship Type="http://schemas.openxmlformats.org/officeDocument/2006/relationships/hyperlink" Target="#'P13'!A1" TargetMode="External" Id="rId13"/><Relationship Type="http://schemas.openxmlformats.org/officeDocument/2006/relationships/hyperlink" Target="#'P14'!A1" TargetMode="External" Id="rId14"/><Relationship Type="http://schemas.openxmlformats.org/officeDocument/2006/relationships/hyperlink" Target="#'P15'!A1" TargetMode="External" Id="rId15"/><Relationship Type="http://schemas.openxmlformats.org/officeDocument/2006/relationships/hyperlink" Target="#'P16'!A1" TargetMode="External" Id="rId16"/><Relationship Type="http://schemas.openxmlformats.org/officeDocument/2006/relationships/hyperlink" Target="#'P17'!A1" TargetMode="External" Id="rId17"/><Relationship Type="http://schemas.openxmlformats.org/officeDocument/2006/relationships/hyperlink" Target="#'P18'!A1" TargetMode="External" Id="rId18"/><Relationship Type="http://schemas.openxmlformats.org/officeDocument/2006/relationships/hyperlink" Target="#'P19'!A1" TargetMode="External" Id="rId19"/><Relationship Type="http://schemas.openxmlformats.org/officeDocument/2006/relationships/hyperlink" Target="#'P20'!A1" TargetMode="External" Id="rId20"/><Relationship Type="http://schemas.openxmlformats.org/officeDocument/2006/relationships/hyperlink" Target="#'P21'!A1" TargetMode="External" Id="rId21"/><Relationship Type="http://schemas.openxmlformats.org/officeDocument/2006/relationships/hyperlink" Target="#'P22'!A1" TargetMode="External" Id="rId22"/><Relationship Type="http://schemas.openxmlformats.org/officeDocument/2006/relationships/hyperlink" Target="#'P23'!A1" TargetMode="External" Id="rId23"/><Relationship Type="http://schemas.openxmlformats.org/officeDocument/2006/relationships/hyperlink" Target="#'P24'!A1" TargetMode="External" Id="rId24"/><Relationship Type="http://schemas.openxmlformats.org/officeDocument/2006/relationships/hyperlink" Target="#'P25'!A1" TargetMode="External" Id="rId25"/><Relationship Type="http://schemas.openxmlformats.org/officeDocument/2006/relationships/hyperlink" Target="#'P26'!A1" TargetMode="External" Id="rId26"/><Relationship Type="http://schemas.openxmlformats.org/officeDocument/2006/relationships/hyperlink" Target="#'P27'!A1" TargetMode="External" Id="rId27"/><Relationship Type="http://schemas.openxmlformats.org/officeDocument/2006/relationships/hyperlink" Target="#'P28'!A1" TargetMode="External" Id="rId28"/><Relationship Type="http://schemas.openxmlformats.org/officeDocument/2006/relationships/hyperlink" Target="#'P29'!A1" TargetMode="External" Id="rId29"/></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10" customWidth="1" min="2" max="2"/>
  </cols>
  <sheetData>
    <row r="1">
      <c r="A1" s="1" t="inlineStr">
        <is>
          <t>Planejamento de Produto e Desenvolvimento — Confecção HMZT</t>
        </is>
      </c>
    </row>
    <row r="2">
      <c r="A2" s="2" t="n"/>
      <c r="B2" s="2" t="n"/>
    </row>
    <row r="3">
      <c r="A3" s="3" t="inlineStr">
        <is>
          <t>Fonte</t>
        </is>
      </c>
      <c r="B3" s="2" t="inlineStr">
        <is>
          <t>Prints das páginas da Lunfe Malhas (29–30/09/2026) + textos "Descrição Geral" colados pelo Angelo. Fichas em docs/shop-confeccao/catalogo, dossiês em /dossies, prompts em /prompts.</t>
        </is>
      </c>
    </row>
    <row r="4">
      <c r="A4" s="3" t="inlineStr">
        <is>
          <t>Abas</t>
        </is>
      </c>
      <c r="B4" s="2" t="inlineStr">
        <is>
          <t>Resumo · Regras Fornecedor · uma aba por produto (P01–P29) · Não Catalogados · Pendências Gerais · Prompts Lookbook (um prompt por foto)</t>
        </is>
      </c>
    </row>
    <row r="5">
      <c r="A5" s="2" t="n"/>
      <c r="B5" s="2" t="n"/>
    </row>
    <row r="6">
      <c r="A6" s="4" t="inlineStr">
        <is>
          <t>Convenção de cores</t>
        </is>
      </c>
      <c r="B6" s="2" t="inlineStr"/>
    </row>
    <row r="7">
      <c r="A7" s="2" t="inlineStr">
        <is>
          <t>Texto azul</t>
        </is>
      </c>
      <c r="B7" s="5" t="inlineStr">
        <is>
          <t>Valor digitado (dado do fornecedor ou estimativa). Pode ser editado.</t>
        </is>
      </c>
    </row>
    <row r="8">
      <c r="A8" s="2" t="inlineStr">
        <is>
          <t>Texto preto</t>
        </is>
      </c>
      <c r="B8" s="2" t="inlineStr">
        <is>
          <t>Fórmula — não editar.</t>
        </is>
      </c>
    </row>
    <row r="9">
      <c r="A9" s="2" t="inlineStr">
        <is>
          <t>Texto verde</t>
        </is>
      </c>
      <c r="B9" s="6" t="inlineStr">
        <is>
          <t>Fórmula que puxa de outra aba.</t>
        </is>
      </c>
    </row>
    <row r="10">
      <c r="A10" s="2" t="inlineStr">
        <is>
          <t>Fundo amarelo</t>
        </is>
      </c>
      <c r="B10" s="7" t="inlineStr">
        <is>
          <t>Estimativa HMZT ou campo a preencher — revisar quando chegar o orçamento real.</t>
        </is>
      </c>
    </row>
    <row r="11">
      <c r="A11" s="2" t="inlineStr">
        <is>
          <t>Fundo vermelho claro</t>
        </is>
      </c>
      <c r="B11" s="8" t="inlineStr">
        <is>
          <t>Contradição, risco ou dado faltando.</t>
        </is>
      </c>
    </row>
    <row r="12">
      <c r="A12" s="2" t="n"/>
      <c r="B12" s="2" t="n"/>
    </row>
    <row r="13">
      <c r="A13" s="4" t="inlineStr">
        <is>
          <t>Marcas nas tabelas</t>
        </is>
      </c>
      <c r="B13" s="2" t="inlineStr"/>
    </row>
    <row r="14">
      <c r="A14" s="2" t="inlineStr">
        <is>
          <t>✅</t>
        </is>
      </c>
      <c r="B14" s="2" t="inlineStr">
        <is>
          <t>Dado técnico declarado pelo fornecedor</t>
        </is>
      </c>
    </row>
    <row r="15">
      <c r="A15" s="2" t="inlineStr">
        <is>
          <t>📣</t>
        </is>
      </c>
      <c r="B15" s="2" t="inlineStr">
        <is>
          <t>Alegação de marketing do fornecedor — NÃO usar como fato na comunicação HMZT</t>
        </is>
      </c>
    </row>
    <row r="16">
      <c r="A16" s="2" t="inlineStr">
        <is>
          <t>⚠️</t>
        </is>
      </c>
      <c r="B16" s="2" t="inlineStr">
        <is>
          <t>Contradição ou erro encontrado</t>
        </is>
      </c>
    </row>
    <row r="17">
      <c r="A17" s="2" t="inlineStr">
        <is>
          <t>🟢</t>
        </is>
      </c>
      <c r="B17" s="2" t="inlineStr">
        <is>
          <t>Recomendação HMZT</t>
        </is>
      </c>
    </row>
    <row r="18">
      <c r="A18" s="2" t="n"/>
      <c r="B18" s="2" t="n"/>
    </row>
    <row r="19">
      <c r="A19" s="3" t="inlineStr">
        <is>
          <t>Como usar</t>
        </is>
      </c>
      <c r="B19" s="2" t="inlineStr">
        <is>
          <t>1) Atualize descontos/Pix em "Regras Fornecedor" — todas as abas recalculam. 2) Em cada produto, preencha os custos amarelos (personalização, frete, embalagem, impostos) quando chegarem os orçamentos. 3) Ajuste o preço de venda HMZT e veja a margem.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24" customWidth="1" min="3" max="3"/>
    <col width="34" customWidth="1" min="4" max="4"/>
    <col width="24" customWidth="1" min="5" max="5"/>
    <col width="16" customWidth="1" min="6" max="6"/>
    <col width="24" customWidth="1" min="7" max="7"/>
    <col width="14" customWidth="1" min="8" max="8"/>
    <col width="18" customWidth="1" min="9" max="9"/>
    <col width="8" customWidth="1" min="10" max="10"/>
    <col width="12" customWidth="1" min="11" max="11"/>
    <col width="12" customWidth="1" min="12" max="12"/>
    <col width="12" customWidth="1" min="13" max="13"/>
    <col width="13" customWidth="1" min="14" max="14"/>
    <col width="13" customWidth="1" min="15" max="15"/>
    <col width="11" customWidth="1" min="16" max="16"/>
    <col width="34" customWidth="1" min="17" max="17"/>
  </cols>
  <sheetData>
    <row r="1">
      <c r="A1" s="1" t="inlineStr">
        <is>
          <t>Resumo do catálogo — 29 produtos Lunfe</t>
        </is>
      </c>
    </row>
    <row r="3">
      <c r="A3" s="9" t="inlineStr">
        <is>
          <t>Produto</t>
        </is>
      </c>
      <c r="B3" s="9" t="inlineStr">
        <is>
          <t>Categoria</t>
        </is>
      </c>
      <c r="C3" s="9" t="inlineStr">
        <is>
          <t>Código HMZT</t>
        </is>
      </c>
      <c r="D3" s="9" t="inlineStr">
        <is>
          <t>Nome</t>
        </is>
      </c>
      <c r="E3" s="9" t="inlineStr">
        <is>
          <t>Linha HMZT</t>
        </is>
      </c>
      <c r="F3" s="9" t="inlineStr">
        <is>
          <t>Modelagem</t>
        </is>
      </c>
      <c r="G3" s="9" t="inlineStr">
        <is>
          <t>Tecido</t>
        </is>
      </c>
      <c r="H3" s="9" t="inlineStr">
        <is>
          <t>Gramatura</t>
        </is>
      </c>
      <c r="I3" s="9" t="inlineStr">
        <is>
          <t>Composição</t>
        </is>
      </c>
      <c r="J3" s="9" t="inlineStr">
        <is>
          <t>Nº cores</t>
        </is>
      </c>
      <c r="K3" s="9" t="inlineStr">
        <is>
          <t>Preço base</t>
        </is>
      </c>
      <c r="L3" s="9" t="inlineStr">
        <is>
          <t>Lote 20 + Pix</t>
        </is>
      </c>
      <c r="M3" s="9" t="inlineStr">
        <is>
          <t>Topo (300+)</t>
        </is>
      </c>
      <c r="N3" s="9" t="inlineStr">
        <is>
          <t>Custo HMZT est.</t>
        </is>
      </c>
      <c r="O3" s="9" t="inlineStr">
        <is>
          <t>Preço venda HMZT</t>
        </is>
      </c>
      <c r="P3" s="9" t="inlineStr">
        <is>
          <t>Margem bruta %</t>
        </is>
      </c>
      <c r="Q3" s="9" t="inlineStr">
        <is>
          <t>Risco / atenção</t>
        </is>
      </c>
    </row>
    <row r="4">
      <c r="A4" s="10" t="inlineStr">
        <is>
          <t>P01</t>
        </is>
      </c>
      <c r="B4" s="10" t="inlineStr">
        <is>
          <t>Camiseta</t>
        </is>
      </c>
      <c r="C4" s="10" t="inlineStr">
        <is>
          <t>HMZT-P01-OVS-SUE300</t>
        </is>
      </c>
      <c r="D4" s="10" t="inlineStr">
        <is>
          <t>Camiseta Oversized Suedine Peruano 300g</t>
        </is>
      </c>
      <c r="E4" s="10" t="inlineStr">
        <is>
          <t>Heavy (oversized)</t>
        </is>
      </c>
      <c r="F4" s="10" t="inlineStr">
        <is>
          <t>Oversized</t>
        </is>
      </c>
      <c r="G4" s="10" t="inlineStr">
        <is>
          <t>Suedine</t>
        </is>
      </c>
      <c r="H4" s="10" t="inlineStr">
        <is>
          <t>300 g/m²</t>
        </is>
      </c>
      <c r="I4" s="10" t="inlineStr">
        <is>
          <t>52% CO / 48% PES</t>
        </is>
      </c>
      <c r="J4" s="11" t="n">
        <v>3</v>
      </c>
      <c r="K4" s="12">
        <f>P01!$B$47</f>
        <v/>
      </c>
      <c r="L4" s="12">
        <f>P01!E49</f>
        <v/>
      </c>
      <c r="M4" s="12">
        <f>P01!D53</f>
        <v/>
      </c>
      <c r="N4" s="12">
        <f>P01!B59</f>
        <v/>
      </c>
      <c r="O4" s="12">
        <f>P01!B60</f>
        <v/>
      </c>
      <c r="P4" s="13">
        <f>P01!B63</f>
        <v/>
      </c>
      <c r="Q4" s="14" t="inlineStr">
        <is>
          <t>"Peruano" no nome não é algodão peruano</t>
        </is>
      </c>
    </row>
    <row r="5">
      <c r="A5" s="10" t="inlineStr">
        <is>
          <t>P02</t>
        </is>
      </c>
      <c r="B5" s="10" t="inlineStr">
        <is>
          <t>Camiseta</t>
        </is>
      </c>
      <c r="C5" s="10" t="inlineStr">
        <is>
          <t>HMZT-P02-OVS-ALG185</t>
        </is>
      </c>
      <c r="D5" s="10" t="inlineStr">
        <is>
          <t>Camiseta Oversized Drop Shoulder Algodão Penteado 185g</t>
        </is>
      </c>
      <c r="E5" s="10" t="inlineStr">
        <is>
          <t>Essencial — oversized (drops com estampa, eventos)</t>
        </is>
      </c>
      <c r="F5" s="10" t="inlineStr">
        <is>
          <t>Oversized drop shoulder — ombro caído, corpo amplo, comprimento alongado</t>
        </is>
      </c>
      <c r="G5" s="10" t="inlineStr">
        <is>
          <t>Meia malha lisa, sem acabamento especial</t>
        </is>
      </c>
      <c r="H5" s="10" t="inlineStr">
        <is>
          <t>185 g/m² (resumo do topo diz 300 g/m²)</t>
        </is>
      </c>
      <c r="I5" s="10" t="inlineStr">
        <is>
          <t>100% algodão penteado</t>
        </is>
      </c>
      <c r="J5" s="11" t="n">
        <v>2</v>
      </c>
      <c r="K5" s="12">
        <f>P02!$B$64</f>
        <v/>
      </c>
      <c r="L5" s="12">
        <f>P02!E66</f>
        <v/>
      </c>
      <c r="M5" s="12">
        <f>P02!D70</f>
        <v/>
      </c>
      <c r="N5" s="12">
        <f>P02!B76</f>
        <v/>
      </c>
      <c r="O5" s="12">
        <f>P02!B77</f>
        <v/>
      </c>
      <c r="P5" s="13">
        <f>P02!B80</f>
        <v/>
      </c>
      <c r="Q5" s="14" t="inlineStr">
        <is>
          <t>Resumo do topo diz '100% Algodão Penteado 300g/m²'; ficha técnica e FAQ dizem 185 g/m².</t>
        </is>
      </c>
    </row>
    <row r="6">
      <c r="A6" s="10" t="inlineStr">
        <is>
          <t>P03</t>
        </is>
      </c>
      <c r="B6" s="10" t="inlineStr">
        <is>
          <t>Camiseta</t>
        </is>
      </c>
      <c r="C6" s="10" t="inlineStr">
        <is>
          <t>HMZT-P03-REG-PIM165</t>
        </is>
      </c>
      <c r="D6" s="10" t="inlineStr">
        <is>
          <t>Camiseta Pima Cotton 165g</t>
        </is>
      </c>
      <c r="E6" s="10" t="inlineStr">
        <is>
          <t>Premium (principal)</t>
        </is>
      </c>
      <c r="F6" s="10" t="inlineStr">
        <is>
          <t>Regular</t>
        </is>
      </c>
      <c r="G6" s="10" t="inlineStr">
        <is>
          <t>Pima</t>
        </is>
      </c>
      <c r="H6" s="10" t="inlineStr">
        <is>
          <t>165 g/m²</t>
        </is>
      </c>
      <c r="I6" s="10" t="inlineStr">
        <is>
          <t>100% Pima</t>
        </is>
      </c>
      <c r="J6" s="11" t="n">
        <v>8</v>
      </c>
      <c r="K6" s="12">
        <f>P03!$B$61</f>
        <v/>
      </c>
      <c r="L6" s="12">
        <f>P03!E63</f>
        <v/>
      </c>
      <c r="M6" s="12">
        <f>P03!D67</f>
        <v/>
      </c>
      <c r="N6" s="12">
        <f>P03!B73</f>
        <v/>
      </c>
      <c r="O6" s="12">
        <f>P03!B74</f>
        <v/>
      </c>
      <c r="P6" s="13">
        <f>P03!B77</f>
        <v/>
      </c>
      <c r="Q6" s="14" t="inlineStr">
        <is>
          <t>Comprovar Pima</t>
        </is>
      </c>
    </row>
    <row r="7">
      <c r="A7" s="10" t="inlineStr">
        <is>
          <t>P04</t>
        </is>
      </c>
      <c r="B7" s="10" t="inlineStr">
        <is>
          <t>Camiseta</t>
        </is>
      </c>
      <c r="C7" s="10" t="inlineStr">
        <is>
          <t>HMZT-P04-REG-SUE300</t>
        </is>
      </c>
      <c r="D7" s="10" t="inlineStr">
        <is>
          <t>Camiseta Suedine Peruano 300g Regular Fit</t>
        </is>
      </c>
      <c r="E7" s="10" t="inlineStr">
        <is>
          <t>Heavy (principal)</t>
        </is>
      </c>
      <c r="F7" s="10" t="inlineStr">
        <is>
          <t>Regular</t>
        </is>
      </c>
      <c r="G7" s="10" t="inlineStr">
        <is>
          <t>Suedine</t>
        </is>
      </c>
      <c r="H7" s="10" t="inlineStr">
        <is>
          <t>300 g/m²</t>
        </is>
      </c>
      <c r="I7" s="10" t="inlineStr">
        <is>
          <t>52% CO / 48% PES</t>
        </is>
      </c>
      <c r="J7" s="11" t="n">
        <v>5</v>
      </c>
      <c r="K7" s="12">
        <f>P04!$B$57</f>
        <v/>
      </c>
      <c r="L7" s="12">
        <f>P04!E59</f>
        <v/>
      </c>
      <c r="M7" s="12">
        <f>P04!D63</f>
        <v/>
      </c>
      <c r="N7" s="12">
        <f>P04!B69</f>
        <v/>
      </c>
      <c r="O7" s="12">
        <f>P04!B70</f>
        <v/>
      </c>
      <c r="P7" s="13">
        <f>P04!B73</f>
        <v/>
      </c>
      <c r="Q7" s="14" t="inlineStr">
        <is>
          <t>"Peruano" no nome; cartela divergente</t>
        </is>
      </c>
    </row>
    <row r="8">
      <c r="A8" s="10" t="inlineStr">
        <is>
          <t>P05</t>
        </is>
      </c>
      <c r="B8" s="10" t="inlineStr">
        <is>
          <t>Camiseta</t>
        </is>
      </c>
      <c r="C8" s="10" t="inlineStr">
        <is>
          <t>HMZT-P05-REG-XJG300 / -OVS-</t>
        </is>
      </c>
      <c r="D8" s="10" t="inlineStr">
        <is>
          <t>Camiseta Chinese Heavyweight 300g</t>
        </is>
      </c>
      <c r="E8" s="10" t="inlineStr">
        <is>
          <t>Heavy (alternativa ⚠️ Xinjiang)</t>
        </is>
      </c>
      <c r="F8" s="10" t="inlineStr">
        <is>
          <t>Regular + Oversized</t>
        </is>
      </c>
      <c r="G8" s="10" t="inlineStr">
        <is>
          <t>Algodão Xinjiang 2 cabos</t>
        </is>
      </c>
      <c r="H8" s="10" t="inlineStr">
        <is>
          <t>300 g/m²</t>
        </is>
      </c>
      <c r="I8" s="10" t="inlineStr">
        <is>
          <t>100% CO</t>
        </is>
      </c>
      <c r="J8" s="11" t="n">
        <v>4</v>
      </c>
      <c r="K8" s="12">
        <f>P05!$B$65</f>
        <v/>
      </c>
      <c r="L8" s="12">
        <f>P05!E67</f>
        <v/>
      </c>
      <c r="M8" s="12">
        <f>P05!D71</f>
        <v/>
      </c>
      <c r="N8" s="12">
        <f>P05!B77</f>
        <v/>
      </c>
      <c r="O8" s="12">
        <f>P05!B78</f>
        <v/>
      </c>
      <c r="P8" s="13">
        <f>P05!B81</f>
        <v/>
      </c>
      <c r="Q8" s="14" t="inlineStr">
        <is>
          <t>Origem Xinjiang</t>
        </is>
      </c>
    </row>
    <row r="9">
      <c r="A9" s="10" t="inlineStr">
        <is>
          <t>P06</t>
        </is>
      </c>
      <c r="B9" s="10" t="inlineStr">
        <is>
          <t>Camiseta</t>
        </is>
      </c>
      <c r="C9" s="10" t="inlineStr">
        <is>
          <t>HMZT-P06-REG-XJG160</t>
        </is>
      </c>
      <c r="D9" s="10" t="inlineStr">
        <is>
          <t>Camiseta Chinese Cotton 160g</t>
        </is>
      </c>
      <c r="E9" s="10" t="inlineStr">
        <is>
          <t>Essencial (alternativa ⚠️ Xinjiang)</t>
        </is>
      </c>
      <c r="F9" s="10" t="inlineStr">
        <is>
          <t>Regular</t>
        </is>
      </c>
      <c r="G9" s="10" t="inlineStr">
        <is>
          <t>Algodão Xinjiang</t>
        </is>
      </c>
      <c r="H9" s="10" t="inlineStr">
        <is>
          <t>160 g/m² ⚠️</t>
        </is>
      </c>
      <c r="I9" s="10" t="inlineStr">
        <is>
          <t>100% CO</t>
        </is>
      </c>
      <c r="J9" s="11" t="n">
        <v>5</v>
      </c>
      <c r="K9" s="12">
        <f>P06!$B$56</f>
        <v/>
      </c>
      <c r="L9" s="12">
        <f>P06!E58</f>
        <v/>
      </c>
      <c r="M9" s="12">
        <f>P06!D62</f>
        <v/>
      </c>
      <c r="N9" s="12">
        <f>P06!B68</f>
        <v/>
      </c>
      <c r="O9" s="12">
        <f>P06!B69</f>
        <v/>
      </c>
      <c r="P9" s="13">
        <f>P06!B72</f>
        <v/>
      </c>
      <c r="Q9" s="14" t="inlineStr">
        <is>
          <t>Origem Xinjiang; 160 × 180 g</t>
        </is>
      </c>
    </row>
    <row r="10">
      <c r="A10" s="10" t="inlineStr">
        <is>
          <t>P07</t>
        </is>
      </c>
      <c r="B10" s="10" t="inlineStr">
        <is>
          <t>Camiseta</t>
        </is>
      </c>
      <c r="C10" s="10" t="inlineStr">
        <is>
          <t>HMZT-P07-REG-PER220</t>
        </is>
      </c>
      <c r="D10" s="10" t="inlineStr">
        <is>
          <t>Camiseta Cotton Peruano 220g com Elastano</t>
        </is>
      </c>
      <c r="E10" s="10" t="inlineStr">
        <is>
          <t>Premium (alternativa)</t>
        </is>
      </c>
      <c r="F10" s="10" t="inlineStr">
        <is>
          <t>Regular</t>
        </is>
      </c>
      <c r="G10" s="10" t="inlineStr">
        <is>
          <t>Algodão peruano + elastano</t>
        </is>
      </c>
      <c r="H10" s="10" t="inlineStr">
        <is>
          <t>220 g/m²</t>
        </is>
      </c>
      <c r="I10" s="10" t="inlineStr">
        <is>
          <t>96% CO / 4% EL</t>
        </is>
      </c>
      <c r="J10" s="11" t="n">
        <v>6</v>
      </c>
      <c r="K10" s="12">
        <f>P07!$B$59</f>
        <v/>
      </c>
      <c r="L10" s="12">
        <f>P07!E61</f>
        <v/>
      </c>
      <c r="M10" s="12">
        <f>P07!D65</f>
        <v/>
      </c>
      <c r="N10" s="12">
        <f>P07!B71</f>
        <v/>
      </c>
      <c r="O10" s="12">
        <f>P07!B72</f>
        <v/>
      </c>
      <c r="P10" s="13">
        <f>P07!B75</f>
        <v/>
      </c>
      <c r="Q10" s="14" t="inlineStr">
        <is>
          <t>Esgotado na página; variedade do algodão</t>
        </is>
      </c>
    </row>
    <row r="11">
      <c r="A11" s="10" t="inlineStr">
        <is>
          <t>P08</t>
        </is>
      </c>
      <c r="B11" s="10" t="inlineStr">
        <is>
          <t>Camiseta</t>
        </is>
      </c>
      <c r="C11" s="10" t="inlineStr">
        <is>
          <t>HMZT-P08-REG-EGY50</t>
        </is>
      </c>
      <c r="D11" s="10" t="inlineStr">
        <is>
          <t>Camiseta Egyptian Cotton Fio 50/1 com Elastano</t>
        </is>
      </c>
      <c r="E11" s="10" t="inlineStr">
        <is>
          <t>Topo / Assinatura (inclui unissex)</t>
        </is>
      </c>
      <c r="F11" s="10" t="inlineStr">
        <is>
          <t>Regular</t>
        </is>
      </c>
      <c r="G11" s="10" t="inlineStr">
        <is>
          <t>Algodão egípcio 50/1 + elastano</t>
        </is>
      </c>
      <c r="H11" s="10" t="inlineStr">
        <is>
          <t>170 g/m²</t>
        </is>
      </c>
      <c r="I11" s="10" t="inlineStr">
        <is>
          <t>91,5% CO / 8,5% EL</t>
        </is>
      </c>
      <c r="J11" s="11" t="n">
        <v>7</v>
      </c>
      <c r="K11" s="12">
        <f>P08!$B$58</f>
        <v/>
      </c>
      <c r="L11" s="12">
        <f>P08!E60</f>
        <v/>
      </c>
      <c r="M11" s="12">
        <f>P08!D64</f>
        <v/>
      </c>
      <c r="N11" s="12">
        <f>P08!B70</f>
        <v/>
      </c>
      <c r="O11" s="12">
        <f>P08!B71</f>
        <v/>
      </c>
      <c r="P11" s="13">
        <f>P08!B74</f>
        <v/>
      </c>
      <c r="Q11" s="14" t="inlineStr">
        <is>
          <t>Comprovar egípcio; nº OEKO-TEX</t>
        </is>
      </c>
    </row>
    <row r="12">
      <c r="A12" s="10" t="inlineStr">
        <is>
          <t>P09</t>
        </is>
      </c>
      <c r="B12" s="10" t="inlineStr">
        <is>
          <t>Camiseta</t>
        </is>
      </c>
      <c r="C12" s="10" t="inlineStr">
        <is>
          <t>HMZT-P09-REG-SUELT</t>
        </is>
      </c>
      <c r="D12" s="10" t="inlineStr">
        <is>
          <t>Camiseta Suedine Light</t>
        </is>
      </c>
      <c r="E12" s="10" t="inlineStr">
        <is>
          <t>Suedine light</t>
        </is>
      </c>
      <c r="F12" s="10" t="inlineStr">
        <is>
          <t>Regular</t>
        </is>
      </c>
      <c r="G12" s="10" t="inlineStr">
        <is>
          <t>Suedine light</t>
        </is>
      </c>
      <c r="H12" s="10" t="inlineStr">
        <is>
          <t>não informada ⚠️</t>
        </is>
      </c>
      <c r="I12" s="10" t="inlineStr">
        <is>
          <t>algodão + sintético (% ?)</t>
        </is>
      </c>
      <c r="J12" s="11" t="n">
        <v>5</v>
      </c>
      <c r="K12" s="12">
        <f>P09!$B$50</f>
        <v/>
      </c>
      <c r="L12" s="12">
        <f>P09!E52</f>
        <v/>
      </c>
      <c r="M12" s="12">
        <f>P09!D56</f>
        <v/>
      </c>
      <c r="N12" s="12">
        <f>P09!B62</f>
        <v/>
      </c>
      <c r="O12" s="12">
        <f>P09!B63</f>
        <v/>
      </c>
      <c r="P12" s="13">
        <f>P09!B66</f>
        <v/>
      </c>
      <c r="Q12" s="14" t="inlineStr">
        <is>
          <t>Faltam gramatura e composição</t>
        </is>
      </c>
    </row>
    <row r="13">
      <c r="A13" s="10" t="inlineStr">
        <is>
          <t>P10</t>
        </is>
      </c>
      <c r="B13" s="10" t="inlineStr">
        <is>
          <t>Camiseta</t>
        </is>
      </c>
      <c r="C13" s="10" t="inlineStr">
        <is>
          <t>HMZT-P10-OVS-SUEALG300</t>
        </is>
      </c>
      <c r="D13" s="10" t="inlineStr">
        <is>
          <t>Camiseta Oversized Básica Suedine 300GSM (100% algodão)</t>
        </is>
      </c>
      <c r="E13" s="10" t="inlineStr">
        <is>
          <t>Heavy — oversized (alternativa mais barata à P01)</t>
        </is>
      </c>
      <c r="F13" s="10" t="inlineStr">
        <is>
          <t>True oversized boxy, ombros caídos</t>
        </is>
      </c>
      <c r="G13" s="10" t="inlineStr">
        <is>
          <t>Malha suedine 'interlock de dupla frontura'</t>
        </is>
      </c>
      <c r="H13" s="10" t="inlineStr">
        <is>
          <t>300 g/m², zero transparência</t>
        </is>
      </c>
      <c r="I13" s="10" t="inlineStr">
        <is>
          <t>100% algodão (P01, também suedine 300g, é 52/48)</t>
        </is>
      </c>
      <c r="J13" s="11" t="n">
        <v>6</v>
      </c>
      <c r="K13" s="12">
        <f>P10!$B$48</f>
        <v/>
      </c>
      <c r="L13" s="12">
        <f>P10!E50</f>
        <v/>
      </c>
      <c r="M13" s="12">
        <f>P10!D54</f>
        <v/>
      </c>
      <c r="N13" s="12">
        <f>P10!B60</f>
        <v/>
      </c>
      <c r="O13" s="12">
        <f>P10!B61</f>
        <v/>
      </c>
      <c r="P13" s="13">
        <f>P10!B64</f>
        <v/>
      </c>
      <c r="Q13" s="14" t="inlineStr">
        <is>
          <t>Composição 100% algodão, R$ 42,00 × P01 (Oversized Suedine Peruano 300g) 52% algodão/48% poliéster, R$ 54,00.</t>
        </is>
      </c>
    </row>
    <row r="14">
      <c r="A14" s="10" t="inlineStr">
        <is>
          <t>P11</t>
        </is>
      </c>
      <c r="B14" s="10" t="inlineStr">
        <is>
          <t>Camiseta</t>
        </is>
      </c>
      <c r="C14" s="10" t="inlineStr">
        <is>
          <t>HMZT-P11-REG-PA160</t>
        </is>
      </c>
      <c r="D14" s="10" t="inlineStr">
        <is>
          <t>Camiseta Custo Inteligente Malha Algodão/Poliéster 160g</t>
        </is>
      </c>
      <c r="E14" s="10" t="inlineStr">
        <is>
          <t>Uniformes &amp; Eventos (B2B) — fora da vitrine</t>
        </is>
      </c>
      <c r="F14" s="10" t="inlineStr">
        <is>
          <t>Regular fit</t>
        </is>
      </c>
      <c r="G14" s="10" t="inlineStr">
        <is>
          <t>—</t>
        </is>
      </c>
      <c r="H14" s="10" t="inlineStr">
        <is>
          <t>160 g/m²</t>
        </is>
      </c>
      <c r="I14" s="10" t="inlineStr">
        <is>
          <t>Meia malha algodão + poliéster — % não informado</t>
        </is>
      </c>
      <c r="J14" s="11" t="n">
        <v>6</v>
      </c>
      <c r="K14" s="12">
        <f>P11!$B$60</f>
        <v/>
      </c>
      <c r="L14" s="12">
        <f>P11!E62</f>
        <v/>
      </c>
      <c r="M14" s="12">
        <f>P11!D66</f>
        <v/>
      </c>
      <c r="N14" s="12">
        <f>P11!B72</f>
        <v/>
      </c>
      <c r="O14" s="12">
        <f>P11!B73</f>
        <v/>
      </c>
      <c r="P14" s="13">
        <f>P11!B76</f>
        <v/>
      </c>
      <c r="Q14" s="14" t="inlineStr">
        <is>
          <t>Seletor da página: R$ 39,90. Descrição: base R$ 28,99 e 'a partir de R$ 20,29' (= 28,99 × 0,70).</t>
        </is>
      </c>
    </row>
    <row r="15">
      <c r="A15" s="10" t="inlineStr">
        <is>
          <t>P12</t>
        </is>
      </c>
      <c r="B15" s="10" t="inlineStr">
        <is>
          <t>Camiseta</t>
        </is>
      </c>
      <c r="C15" s="10" t="inlineStr">
        <is>
          <t>HMZT-P12-REG-BCI280</t>
        </is>
      </c>
      <c r="D15" s="10" t="inlineStr">
        <is>
          <t>Camiseta Malhão Compact Algodão BCI 280g</t>
        </is>
      </c>
      <c r="E15" s="10" t="inlineStr">
        <is>
          <t>Heavy — regular 100% algodão</t>
        </is>
      </c>
      <c r="F15" s="10" t="inlineStr">
        <is>
          <t>Regular fit unissex (tabela masculina)</t>
        </is>
      </c>
      <c r="G15" s="10" t="inlineStr">
        <is>
          <t>—</t>
        </is>
      </c>
      <c r="H15" s="10" t="inlineStr">
        <is>
          <t>280 g/m²</t>
        </is>
      </c>
      <c r="I15" s="10" t="inlineStr">
        <is>
          <t>100% algodão BCI</t>
        </is>
      </c>
      <c r="J15" s="11" t="n">
        <v>8</v>
      </c>
      <c r="K15" s="12">
        <f>P12!$B$57</f>
        <v/>
      </c>
      <c r="L15" s="12">
        <f>P12!E59</f>
        <v/>
      </c>
      <c r="M15" s="12">
        <f>P12!D63</f>
        <v/>
      </c>
      <c r="N15" s="12">
        <f>P12!B69</f>
        <v/>
      </c>
      <c r="O15" s="12">
        <f>P12!B70</f>
        <v/>
      </c>
      <c r="P15" s="13">
        <f>P12!B73</f>
        <v/>
      </c>
      <c r="Q15" s="14" t="inlineStr">
        <is>
          <t>FAQ chama o fio 26/1 de 'fino'; 26/1 é mais grosso que 30/1.</t>
        </is>
      </c>
    </row>
    <row r="16">
      <c r="A16" s="10" t="inlineStr">
        <is>
          <t>P13</t>
        </is>
      </c>
      <c r="B16" s="10" t="inlineStr">
        <is>
          <t>Camiseta</t>
        </is>
      </c>
      <c r="C16" s="10" t="inlineStr">
        <is>
          <t>HMZT-P13-REG-EST175</t>
        </is>
      </c>
      <c r="D16" s="10" t="inlineStr">
        <is>
          <t>Camiseta Estonada Regular 175g (Outras Cores)</t>
        </is>
      </c>
      <c r="E16" s="10" t="inlineStr">
        <is>
          <t>Lavada/Vintage (nova) — base regular</t>
        </is>
      </c>
      <c r="F16" s="10" t="inlineStr">
        <is>
          <t>Regular (tabela padrão Lunfe)</t>
        </is>
      </c>
      <c r="G16" s="10" t="inlineStr">
        <is>
          <t>—</t>
        </is>
      </c>
      <c r="H16" s="10" t="inlineStr">
        <is>
          <t>175 g/m² (texto) × 180 GSM (banner da galeria)</t>
        </is>
      </c>
      <c r="I16" s="10" t="inlineStr">
        <is>
          <t>100% algodão penteado</t>
        </is>
      </c>
      <c r="J16" s="11" t="n">
        <v>6</v>
      </c>
      <c r="K16" s="12">
        <f>P13!$B$57</f>
        <v/>
      </c>
      <c r="L16" s="12">
        <f>P13!E59</f>
        <v/>
      </c>
      <c r="M16" s="12">
        <f>P13!D63</f>
        <v/>
      </c>
      <c r="N16" s="12">
        <f>P13!B69</f>
        <v/>
      </c>
      <c r="O16" s="12">
        <f>P13!B70</f>
        <v/>
      </c>
      <c r="P16" s="13">
        <f>P13!B73</f>
        <v/>
      </c>
      <c r="Q16" s="14" t="inlineStr">
        <is>
          <t>P13 × P14 são quase duplicados. Mesma composição, gramatura, preço (R$ 37,26), tabela de desconto, tabela de medidas e sessão de fotos. Muda só o EAN (7897564701282 × 7892948548590), o título ("Vintage") e a cartela. O "-oc" do endereço provavelmente é "outras cores" (hipótese).</t>
        </is>
      </c>
    </row>
    <row r="17">
      <c r="A17" s="10" t="inlineStr">
        <is>
          <t>P14</t>
        </is>
      </c>
      <c r="B17" s="10" t="inlineStr">
        <is>
          <t>Camiseta</t>
        </is>
      </c>
      <c r="C17" s="10" t="inlineStr">
        <is>
          <t>HMZT-P14-REG-EST175</t>
        </is>
      </c>
      <c r="D17" s="10" t="inlineStr">
        <is>
          <t>Camiseta Estonada Regular 175g</t>
        </is>
      </c>
      <c r="E17" s="10" t="inlineStr">
        <is>
          <t>Lavada/Vintage (nova) — base regular</t>
        </is>
      </c>
      <c r="F17" s="10" t="inlineStr">
        <is>
          <t>Regular (tabela padrão Lunfe)</t>
        </is>
      </c>
      <c r="G17" s="10" t="inlineStr">
        <is>
          <t>—</t>
        </is>
      </c>
      <c r="H17" s="10" t="inlineStr">
        <is>
          <t>175 g/m² (texto) × 180 GSM (banner da galeria)</t>
        </is>
      </c>
      <c r="I17" s="10" t="inlineStr">
        <is>
          <t>100% algodão penteado</t>
        </is>
      </c>
      <c r="J17" s="11" t="n">
        <v>6</v>
      </c>
      <c r="K17" s="12">
        <f>P14!$B$60</f>
        <v/>
      </c>
      <c r="L17" s="12">
        <f>P14!E62</f>
        <v/>
      </c>
      <c r="M17" s="12">
        <f>P14!D66</f>
        <v/>
      </c>
      <c r="N17" s="12">
        <f>P14!B72</f>
        <v/>
      </c>
      <c r="O17" s="12">
        <f>P14!B73</f>
        <v/>
      </c>
      <c r="P17" s="13">
        <f>P14!B76</f>
        <v/>
      </c>
      <c r="Q17" s="14" t="inlineStr">
        <is>
          <t>P14 × P13: o P13 é a mesma peça (mesma ficha, preço, medidas e fotos) com outro EAN e outra cartela — o texto do P13 até copia as cores do P14.</t>
        </is>
      </c>
    </row>
    <row r="18">
      <c r="A18" s="10" t="inlineStr">
        <is>
          <t>P15</t>
        </is>
      </c>
      <c r="B18" s="10" t="inlineStr">
        <is>
          <t>Camiseta</t>
        </is>
      </c>
      <c r="C18" s="10" t="inlineStr">
        <is>
          <t>HMZT-P15-REG-ESN175</t>
        </is>
      </c>
      <c r="D18" s="10" t="inlineStr">
        <is>
          <t>Camiseta Estonada Neon Regular 175g</t>
        </is>
      </c>
      <c r="E18" s="10" t="inlineStr">
        <is>
          <t>Lavada/Vintage — cápsula de verão (drop)</t>
        </is>
      </c>
      <c r="F18" s="10" t="inlineStr">
        <is>
          <t>Regular (tabela padrão Lunfe)</t>
        </is>
      </c>
      <c r="G18" s="10" t="inlineStr">
        <is>
          <t>—</t>
        </is>
      </c>
      <c r="H18" s="10" t="inlineStr">
        <is>
          <t>175 g/m² (texto) × 180 GSM (banner da galeria)</t>
        </is>
      </c>
      <c r="I18" s="10" t="inlineStr">
        <is>
          <t>100% algodão penteado</t>
        </is>
      </c>
      <c r="J18" s="11" t="n">
        <v>6</v>
      </c>
      <c r="K18" s="12">
        <f>P15!$B$57</f>
        <v/>
      </c>
      <c r="L18" s="12">
        <f>P15!E59</f>
        <v/>
      </c>
      <c r="M18" s="12">
        <f>P15!D63</f>
        <v/>
      </c>
      <c r="N18" s="12">
        <f>P15!B69</f>
        <v/>
      </c>
      <c r="O18" s="12">
        <f>P15!B70</f>
        <v/>
      </c>
      <c r="P18" s="13">
        <f>P15!B73</f>
        <v/>
      </c>
      <c r="Q18" s="14" t="inlineStr">
        <is>
          <t>Neon + algodão: corante fluorescente em algodão tem solidez à luz baixa — desbota com sol e lavagem mais rápido que cor comum. O próprio FAQ recomenda "lavar do avesso em água fria para prolongar a intensidade", o que contradiz "vibração estável".</t>
        </is>
      </c>
    </row>
    <row r="19">
      <c r="A19" s="10" t="inlineStr">
        <is>
          <t>P16</t>
        </is>
      </c>
      <c r="B19" s="10" t="inlineStr">
        <is>
          <t>Camiseta</t>
        </is>
      </c>
      <c r="C19" s="10" t="inlineStr">
        <is>
          <t>HMZT-P16-OVS-EST175</t>
        </is>
      </c>
      <c r="D19" s="10" t="inlineStr">
        <is>
          <t>Camiseta Estonada Oversized 175g</t>
        </is>
      </c>
      <c r="E19" s="10" t="inlineStr">
        <is>
          <t>Lavada/Vintage (nova) — base oversized</t>
        </is>
      </c>
      <c r="F19" s="10" t="inlineStr">
        <is>
          <t>Oversized (ombro caído, corpo amplo e alongado)</t>
        </is>
      </c>
      <c r="G19" s="10" t="inlineStr">
        <is>
          <t>—</t>
        </is>
      </c>
      <c r="H19" s="10" t="inlineStr">
        <is>
          <t>175 g/m² (texto) × 180 GSM (banner da galeria)</t>
        </is>
      </c>
      <c r="I19" s="10" t="inlineStr">
        <is>
          <t>100% algodão penteado</t>
        </is>
      </c>
      <c r="J19" s="11" t="n">
        <v>15</v>
      </c>
      <c r="K19" s="12">
        <f>P16!$B$65</f>
        <v/>
      </c>
      <c r="L19" s="12">
        <f>P16!E67</f>
        <v/>
      </c>
      <c r="M19" s="12">
        <f>P16!D71</f>
        <v/>
      </c>
      <c r="N19" s="12">
        <f>P16!B77</f>
        <v/>
      </c>
      <c r="O19" s="12">
        <f>P16!B78</f>
        <v/>
      </c>
      <c r="P19" s="13">
        <f>P16!B81</f>
        <v/>
      </c>
      <c r="Q19" s="14" t="inlineStr">
        <is>
          <t>Mangas × P17: o texto do P17 diz que a modelagem é idêntica, mas as mangas diferem (P16: 24–28 cm, +1 por tamanho; P17: 22–30 cm, +2 por tamanho).</t>
        </is>
      </c>
    </row>
    <row r="20">
      <c r="A20" s="10" t="inlineStr">
        <is>
          <t>P17</t>
        </is>
      </c>
      <c r="B20" s="10" t="inlineStr">
        <is>
          <t>Camiseta</t>
        </is>
      </c>
      <c r="C20" s="10" t="inlineStr">
        <is>
          <t>HMZT-P17-OVS-ESB175</t>
        </is>
      </c>
      <c r="D20" s="10" t="inlineStr">
        <is>
          <t>Camiseta Estonada Oversized com Bolso 175g</t>
        </is>
      </c>
      <c r="E20" s="10" t="inlineStr">
        <is>
          <t>Lavada/Vintage — destaque oversized com bolso (após reposição)</t>
        </is>
      </c>
      <c r="F20" s="10" t="inlineStr">
        <is>
          <t>Oversized com bolso no peito</t>
        </is>
      </c>
      <c r="G20" s="10" t="inlineStr">
        <is>
          <t>—</t>
        </is>
      </c>
      <c r="H20" s="10" t="inlineStr">
        <is>
          <t>175 g/m² (texto) × 180 GSM (banner da galeria)</t>
        </is>
      </c>
      <c r="I20" s="10" t="inlineStr">
        <is>
          <t>100% algodão penteado</t>
        </is>
      </c>
      <c r="J20" s="11" t="n">
        <v>3</v>
      </c>
      <c r="K20" s="12">
        <f>P17!$B$55</f>
        <v/>
      </c>
      <c r="L20" s="12">
        <f>P17!E57</f>
        <v/>
      </c>
      <c r="M20" s="12">
        <f>P17!D61</f>
        <v/>
      </c>
      <c r="N20" s="12">
        <f>P17!B67</f>
        <v/>
      </c>
      <c r="O20" s="12">
        <f>P17!B68</f>
        <v/>
      </c>
      <c r="P20" s="13">
        <f>P17!B71</f>
        <v/>
      </c>
      <c r="Q20" s="14" t="inlineStr">
        <is>
          <t>Conferência com a página do P02: o comparativo do P02 diz "Estonada Oversized Bolso 175g, 100% algodão penteado 30/1, 3 cores, R$ 39,78" — bate com esta página ✅ (175 g, 30/1, Verde Musgo/Azul/Preto, base R$ 39,78, mínimo R$ 27,85). E o "Esse acabou" do P02 também bate: a própria página do P17 está esgotada (sem seletor, sem preço no topo). O P02 ainda diz "peso ao vestir: leve" e "volume de vendas alto" 📣.</t>
        </is>
      </c>
    </row>
    <row r="21">
      <c r="A21" s="10" t="inlineStr">
        <is>
          <t>P18</t>
        </is>
      </c>
      <c r="B21" s="10" t="inlineStr">
        <is>
          <t>Camiseta</t>
        </is>
      </c>
      <c r="C21" s="10" t="inlineStr">
        <is>
          <t>HMZT-P18-REG-RIB240</t>
        </is>
      </c>
      <c r="D21" s="10" t="inlineStr">
        <is>
          <t>Camiseta Rib Wide Texture 240g — canelado largo vertical</t>
        </is>
      </c>
      <c r="E21" s="10" t="inlineStr">
        <is>
          <t>Textura (nova) — alternativa vertical; esgotada</t>
        </is>
      </c>
      <c r="F21" s="10" t="inlineStr">
        <is>
          <t>Regular fit</t>
        </is>
      </c>
      <c r="G21" s="10" t="inlineStr">
        <is>
          <t>Malha (tricô) texturizada — o texto chama de "tecelagem", termo errado para malha</t>
        </is>
      </c>
      <c r="H21" s="10" t="inlineStr">
        <is>
          <t>240 g/m²</t>
        </is>
      </c>
      <c r="I21" s="10" t="inlineStr">
        <is>
          <t>52% algodão + 48% poliéster</t>
        </is>
      </c>
      <c r="J21" s="11" t="n">
        <v>5</v>
      </c>
      <c r="K21" s="12">
        <f>P18!$B$63</f>
        <v/>
      </c>
      <c r="L21" s="12">
        <f>P18!E65</f>
        <v/>
      </c>
      <c r="M21" s="12">
        <f>P18!D69</f>
        <v/>
      </c>
      <c r="N21" s="12">
        <f>P18!B75</f>
        <v/>
      </c>
      <c r="O21" s="12">
        <f>P18!B76</f>
        <v/>
      </c>
      <c r="P21" s="13">
        <f>P18!B79</f>
        <v/>
      </c>
      <c r="Q21" s="14" t="inlineStr">
        <is>
          <t>Estoque: página diz "Esse acabou"; FAQ diz 5 cores em estoque com despacho em 24h.</t>
        </is>
      </c>
    </row>
    <row r="22">
      <c r="A22" s="10" t="inlineStr">
        <is>
          <t>P19</t>
        </is>
      </c>
      <c r="B22" s="10" t="inlineStr">
        <is>
          <t>Camiseta</t>
        </is>
      </c>
      <c r="C22" s="10" t="inlineStr">
        <is>
          <t>HMZT-P19-REG-PLS240</t>
        </is>
      </c>
      <c r="D22" s="10" t="inlineStr">
        <is>
          <t>Camiseta Plissé Texture 240g — canelado vertical largo acetinado</t>
        </is>
      </c>
      <c r="E22" s="10" t="inlineStr">
        <is>
          <t>Textura (nova) — cápsula noturna / drop</t>
        </is>
      </c>
      <c r="F22" s="10" t="inlineStr">
        <is>
          <t>Regular fit</t>
        </is>
      </c>
      <c r="G22" s="10" t="inlineStr">
        <is>
          <t>Malha (tricô) texturizada — o texto chama de "tecelagem", termo errado para malha</t>
        </is>
      </c>
      <c r="H22" s="10" t="inlineStr">
        <is>
          <t>240 g/m²</t>
        </is>
      </c>
      <c r="I22" s="10" t="inlineStr">
        <is>
          <t>52% algodão + 48% poliéster</t>
        </is>
      </c>
      <c r="J22" s="11" t="n">
        <v>6</v>
      </c>
      <c r="K22" s="12">
        <f>P19!$B$64</f>
        <v/>
      </c>
      <c r="L22" s="12">
        <f>P19!E66</f>
        <v/>
      </c>
      <c r="M22" s="12">
        <f>P19!D70</f>
        <v/>
      </c>
      <c r="N22" s="12">
        <f>P19!B76</f>
        <v/>
      </c>
      <c r="O22" s="12">
        <f>P19!B77</f>
        <v/>
      </c>
      <c r="P22" s="13">
        <f>P19!B80</f>
        <v/>
      </c>
      <c r="Q22" s="14" t="inlineStr">
        <is>
          <t>Cores: o texto lista 5 cores sem cinza; o seletor da página mostra só Cinza e Preto; as fotos são cinza e preto.</t>
        </is>
      </c>
    </row>
    <row r="23">
      <c r="A23" s="10" t="inlineStr">
        <is>
          <t>P20</t>
        </is>
      </c>
      <c r="B23" s="10" t="inlineStr">
        <is>
          <t>Camiseta</t>
        </is>
      </c>
      <c r="C23" s="10" t="inlineStr">
        <is>
          <t>HMZT-P20-REG-RPL240</t>
        </is>
      </c>
      <c r="D23" s="10" t="inlineStr">
        <is>
          <t>Camiseta Ripple Texture 240g — micro-ondulação horizontal</t>
        </is>
      </c>
      <c r="E23" s="10" t="inlineStr">
        <is>
          <t>Textura (nova) — base principal (quiet luxury, sob blazer)</t>
        </is>
      </c>
      <c r="F23" s="10" t="inlineStr">
        <is>
          <t>Regular fit</t>
        </is>
      </c>
      <c r="G23" s="10" t="inlineStr">
        <is>
          <t>Malha (tricô) texturizada — o texto chama de "tecelagem", termo errado para malha</t>
        </is>
      </c>
      <c r="H23" s="10" t="inlineStr">
        <is>
          <t>240 g/m²</t>
        </is>
      </c>
      <c r="I23" s="10" t="inlineStr">
        <is>
          <t>52% algodão + 48% poliéster</t>
        </is>
      </c>
      <c r="J23" s="11" t="n">
        <v>8</v>
      </c>
      <c r="K23" s="12">
        <f>P20!$B$65</f>
        <v/>
      </c>
      <c r="L23" s="12">
        <f>P20!E67</f>
        <v/>
      </c>
      <c r="M23" s="12">
        <f>P20!D71</f>
        <v/>
      </c>
      <c r="N23" s="12">
        <f>P20!B77</f>
        <v/>
      </c>
      <c r="O23" s="12">
        <f>P20!B78</f>
        <v/>
      </c>
      <c r="P23" s="13">
        <f>P20!B81</f>
        <v/>
      </c>
      <c r="Q23" s="14" t="inlineStr">
        <is>
          <t>Cores: texto (5) × seletor (6) × fotos (5) não batem; Azul, Verde e Cinza não existem no texto; Bege e Marinho não existem no seletor.</t>
        </is>
      </c>
    </row>
    <row r="24">
      <c r="A24" s="10" t="inlineStr">
        <is>
          <t>P21</t>
        </is>
      </c>
      <c r="B24" s="10" t="inlineStr">
        <is>
          <t>Camiseta</t>
        </is>
      </c>
      <c r="C24" s="10" t="inlineStr">
        <is>
          <t>HMZT-P21-REG-WFK240</t>
        </is>
      </c>
      <c r="D24" s="10" t="inlineStr">
        <is>
          <t>Camiseta Waffle Knit Texture 240g — faixas trançadas horizontais</t>
        </is>
      </c>
      <c r="E24" s="10" t="inlineStr">
        <is>
          <t>Textura (nova) — casual de fim de semana e presente</t>
        </is>
      </c>
      <c r="F24" s="10" t="inlineStr">
        <is>
          <t>Regular fit</t>
        </is>
      </c>
      <c r="G24" s="10" t="inlineStr">
        <is>
          <t>Malha (tricô) texturizada — o texto chama de "tecelagem", termo errado para malha</t>
        </is>
      </c>
      <c r="H24" s="10" t="inlineStr">
        <is>
          <t>240 g/m²</t>
        </is>
      </c>
      <c r="I24" s="10" t="inlineStr">
        <is>
          <t>52% algodão + 48% poliéster</t>
        </is>
      </c>
      <c r="J24" s="11" t="n">
        <v>5</v>
      </c>
      <c r="K24" s="12">
        <f>P21!$B$62</f>
        <v/>
      </c>
      <c r="L24" s="12">
        <f>P21!E64</f>
        <v/>
      </c>
      <c r="M24" s="12">
        <f>P21!D68</f>
        <v/>
      </c>
      <c r="N24" s="12">
        <f>P21!B74</f>
        <v/>
      </c>
      <c r="O24" s="12">
        <f>P21!B75</f>
        <v/>
      </c>
      <c r="P24" s="13">
        <f>P21!B78</f>
        <v/>
      </c>
      <c r="Q24" s="14" t="inlineStr">
        <is>
          <t>Cores: seletor mostra Marrom, Preto, Off White; fotos mostram bege, preto, off-white; texto lista 5 cores.</t>
        </is>
      </c>
    </row>
    <row r="25">
      <c r="A25" s="10" t="inlineStr">
        <is>
          <t>P22</t>
        </is>
      </c>
      <c r="B25" s="10" t="inlineStr">
        <is>
          <t>Camiseta</t>
        </is>
      </c>
      <c r="C25" s="10" t="inlineStr">
        <is>
          <t>HMZT-P22-REG-PIQ240</t>
        </is>
      </c>
      <c r="D25" s="10" t="inlineStr">
        <is>
          <t>Camiseta Piqué Texture 240g — micro-mesh</t>
        </is>
      </c>
      <c r="E25" s="10" t="inlineStr">
        <is>
          <t>Textura (nova) — piquê "old money" e uniforme B2B bordado</t>
        </is>
      </c>
      <c r="F25" s="10" t="inlineStr">
        <is>
          <t>Regular fit (oversized "em estudo")</t>
        </is>
      </c>
      <c r="G25" s="10" t="inlineStr">
        <is>
          <t>"Tecelagem piquê (interlock com relevo micro-mesh)" — piquê é malha de ponto carregado, não interlock nem tecelagem</t>
        </is>
      </c>
      <c r="H25" s="10" t="inlineStr">
        <is>
          <t>240 g/m² (± 5%)</t>
        </is>
      </c>
      <c r="I25" s="10" t="inlineStr">
        <is>
          <t>51% poliéster + 49% algodão (poliéster majoritário)</t>
        </is>
      </c>
      <c r="J25" s="11" t="n">
        <v>3</v>
      </c>
      <c r="K25" s="12">
        <f>P22!$B$62</f>
        <v/>
      </c>
      <c r="L25" s="12">
        <f>P22!E64</f>
        <v/>
      </c>
      <c r="M25" s="12">
        <f>P22!D68</f>
        <v/>
      </c>
      <c r="N25" s="12">
        <f>P22!B74</f>
        <v/>
      </c>
      <c r="O25" s="12">
        <f>P22!B75</f>
        <v/>
      </c>
      <c r="P25" s="13">
        <f>P22!B78</f>
        <v/>
      </c>
      <c r="Q25" s="14" t="inlineStr">
        <is>
          <t>Composição: 51% poliéster / 49% algodão — confirma o texto do P05; o texto do P04 (52% algodão / 48% poliéster) vale para Rib Wide, Plissé, Ripple e Waffle, não para a Piqué. São duas composições na mesma "linha texturizada".</t>
        </is>
      </c>
    </row>
    <row r="26">
      <c r="A26" s="10" t="inlineStr">
        <is>
          <t>P23</t>
        </is>
      </c>
      <c r="B26" s="10" t="inlineStr">
        <is>
          <t>Regata</t>
        </is>
      </c>
      <c r="C26" s="10" t="inlineStr">
        <is>
          <t>HMZT-P23-SLM-CAN21</t>
        </is>
      </c>
      <c r="D26" s="10" t="inlineStr">
        <is>
          <t>Regata Masculina Canelada 2/1 Slim Fit (American Style)</t>
        </is>
      </c>
      <c r="E26" s="10" t="inlineStr">
        <is>
          <t>Regatas / Verão — Essencial (entrada, kit e cross-sell)</t>
        </is>
      </c>
      <c r="F26" s="10" t="inlineStr">
        <is>
          <t>Slim fit / American style (ajustada)</t>
        </is>
      </c>
      <c r="G26" s="10" t="inlineStr">
        <is>
          <t>Canelada rib knit 2/1, 'alta densidade de fios'</t>
        </is>
      </c>
      <c r="H26" s="10" t="inlineStr">
        <is>
          <t>Não informada</t>
        </is>
      </c>
      <c r="I26" s="10" t="inlineStr">
        <is>
          <t>100% algodão (sem elastano — elasticidade é mecânica, da nervura)</t>
        </is>
      </c>
      <c r="J26" s="11" t="n">
        <v>5</v>
      </c>
      <c r="K26" s="12">
        <f>P23!$B$58</f>
        <v/>
      </c>
      <c r="L26" s="12">
        <f>P23!E60</f>
        <v/>
      </c>
      <c r="M26" s="12">
        <f>P23!D64</f>
        <v/>
      </c>
      <c r="N26" s="12">
        <f>P23!B70</f>
        <v/>
      </c>
      <c r="O26" s="12">
        <f>P23!B71</f>
        <v/>
      </c>
      <c r="P26" s="13">
        <f>P23!B74</f>
        <v/>
      </c>
      <c r="Q26" s="14" t="inlineStr">
        <is>
          <t>Estoque: página diz 'Esse acabou' (nenhuma variação selecionável); resumo diz 'Envio em até 24h'.</t>
        </is>
      </c>
    </row>
    <row r="27">
      <c r="A27" s="10" t="inlineStr">
        <is>
          <t>P24</t>
        </is>
      </c>
      <c r="B27" s="10" t="inlineStr">
        <is>
          <t>Regata</t>
        </is>
      </c>
      <c r="C27" s="10" t="inlineStr">
        <is>
          <t>HMZT-P24-SLM-CAN21SW</t>
        </is>
      </c>
      <c r="D27" s="10" t="inlineStr">
        <is>
          <t>Regata Estonada Canelada 2/1 Slim Fit (Stone Wash)</t>
        </is>
      </c>
      <c r="E27" s="10" t="inlineStr">
        <is>
          <t>Regatas / Verão — Vintage (drop streetwear, lavada)</t>
        </is>
      </c>
      <c r="F27" s="10" t="inlineStr">
        <is>
          <t>Slim fit atlético</t>
        </is>
      </c>
      <c r="G27" s="10" t="inlineStr">
        <is>
          <t>Canelada rib knit 2/1 (mesma base da P23)</t>
        </is>
      </c>
      <c r="H27" s="10" t="inlineStr">
        <is>
          <t>Não informada</t>
        </is>
      </c>
      <c r="I27" s="10" t="inlineStr">
        <is>
          <t>100% algodão</t>
        </is>
      </c>
      <c r="J27" s="11" t="n">
        <v>4</v>
      </c>
      <c r="K27" s="12">
        <f>P24!$B$60</f>
        <v/>
      </c>
      <c r="L27" s="12">
        <f>P24!E62</f>
        <v/>
      </c>
      <c r="M27" s="12">
        <f>P24!D66</f>
        <v/>
      </c>
      <c r="N27" s="12">
        <f>P24!B72</f>
        <v/>
      </c>
      <c r="O27" s="12">
        <f>P24!B73</f>
        <v/>
      </c>
      <c r="P27" s="13">
        <f>P24!B76</f>
        <v/>
      </c>
      <c r="Q27" s="14" t="inlineStr">
        <is>
          <t>Preço invertido: a estonada (R$ 23,99) custa MENOS que a lisa P23 (R$ 24,99), apesar de ter uma etapa extra de lavanderia.</t>
        </is>
      </c>
    </row>
    <row r="28">
      <c r="A28" s="10" t="inlineStr">
        <is>
          <t>P25</t>
        </is>
      </c>
      <c r="B28" s="10" t="inlineStr">
        <is>
          <t>Calça</t>
        </is>
      </c>
      <c r="C28" s="10" t="inlineStr">
        <is>
          <t>HMZT-P25-CNF-MOL320</t>
        </is>
      </c>
      <c r="D28" s="10" t="inlineStr">
        <is>
          <t>Calça Moletom 3 Cabos 320g Felpada Confort Fit</t>
        </is>
      </c>
      <c r="E28" s="10" t="inlineStr">
        <is>
          <t>Inverno Heavy — conjunto com o moletom P26 (calça avulsa como complemento)</t>
        </is>
      </c>
      <c r="F28" s="10" t="inlineStr">
        <is>
          <t>Confort fit 'levemente solta' — nas fotos: jogger com perna afunilada</t>
        </is>
      </c>
      <c r="G28" s="10" t="inlineStr">
        <is>
          <t>Moletom 3 cabos (triple ply) com felpado interno</t>
        </is>
      </c>
      <c r="H28" s="10" t="inlineStr">
        <is>
          <t>320 g/m² (heavyweight)</t>
        </is>
      </c>
      <c r="I28" s="10" t="inlineStr">
        <is>
          <t>50% algodão + 50% poliéster</t>
        </is>
      </c>
      <c r="J28" s="11" t="n">
        <v>4</v>
      </c>
      <c r="K28" s="12">
        <f>P25!$B$60</f>
        <v/>
      </c>
      <c r="L28" s="12">
        <f>P25!E62</f>
        <v/>
      </c>
      <c r="M28" s="12">
        <f>P25!D66</f>
        <v/>
      </c>
      <c r="N28" s="12">
        <f>P25!B72</f>
        <v/>
      </c>
      <c r="O28" s="12">
        <f>P25!B73</f>
        <v/>
      </c>
      <c r="P28" s="13">
        <f>P25!B76</f>
        <v/>
      </c>
      <c r="Q28" s="14" t="inlineStr">
        <is>
          <t>Estoque: 'Disponibilidade: Imediata' + 'Esse acabou' na mesma página.</t>
        </is>
      </c>
    </row>
    <row r="29">
      <c r="A29" s="10" t="inlineStr">
        <is>
          <t>P26</t>
        </is>
      </c>
      <c r="B29" s="10" t="inlineStr">
        <is>
          <t>Moletom</t>
        </is>
      </c>
      <c r="C29" s="10" t="inlineStr">
        <is>
          <t>HMZT-P26-REG-MOL320</t>
        </is>
      </c>
      <c r="D29" s="10" t="inlineStr">
        <is>
          <t>Moletom Gola Careca 3 Cabos 320g Felpado</t>
        </is>
      </c>
      <c r="E29" s="10" t="inlineStr">
        <is>
          <t>Inverno Heavy — moletom 320g (topo do inverno; conjunto com a calça P25)</t>
        </is>
      </c>
      <c r="F29" s="10" t="inlineStr">
        <is>
          <t>Regular fit, sem capuz e sem bolso</t>
        </is>
      </c>
      <c r="G29" s="10" t="inlineStr">
        <is>
          <t>Moletom 3 cabos (triple ply) com felpado interno</t>
        </is>
      </c>
      <c r="H29" s="10" t="inlineStr">
        <is>
          <t>320 g/m² (heavyweight)</t>
        </is>
      </c>
      <c r="I29" s="10" t="inlineStr">
        <is>
          <t>50% algodão + 50% poliéster</t>
        </is>
      </c>
      <c r="J29" s="11" t="n">
        <v>6</v>
      </c>
      <c r="K29" s="12">
        <f>P26!$B$63</f>
        <v/>
      </c>
      <c r="L29" s="12">
        <f>P26!E65</f>
        <v/>
      </c>
      <c r="M29" s="12">
        <f>P26!D69</f>
        <v/>
      </c>
      <c r="N29" s="12">
        <f>P26!B75</f>
        <v/>
      </c>
      <c r="O29" s="12">
        <f>P26!B76</f>
        <v/>
      </c>
      <c r="P29" s="13">
        <f>P26!B79</f>
        <v/>
      </c>
      <c r="Q29" s="14" t="inlineStr">
        <is>
          <t>Preço: a página mostra R$ 68,00 no seletor; o texto dá preço base de R$ 59,00 e tabela a partir dele. Provável preço de varejo/unidade × atacado — confirmar qual vale no pedido.</t>
        </is>
      </c>
    </row>
    <row r="30">
      <c r="A30" s="10" t="inlineStr">
        <is>
          <t>P27</t>
        </is>
      </c>
      <c r="B30" s="10" t="inlineStr">
        <is>
          <t>Manga longa</t>
        </is>
      </c>
      <c r="C30" s="10" t="inlineStr">
        <is>
          <t>HMZT-P27-RGL-ML300</t>
        </is>
      </c>
      <c r="D30" s="10" t="inlineStr">
        <is>
          <t>Blusa Raglan Manga Longa 300g (fio importado 2 cabos)</t>
        </is>
      </c>
      <c r="E30" s="10" t="inlineStr">
        <is>
          <t>Meia-estação — Manga longa 'Design' (raglan) · condicionada à composição</t>
        </is>
      </c>
      <c r="F30" s="10" t="inlineStr">
        <is>
          <t>Regular fit, manga longa raglan</t>
        </is>
      </c>
      <c r="G30" s="10" t="inlineStr">
        <is>
          <t>Malha 2 cabos (double ply), sem peluciado; interior liso</t>
        </is>
      </c>
      <c r="H30" s="10" t="inlineStr">
        <is>
          <t>300 g/m²</t>
        </is>
      </c>
      <c r="I30" s="10" t="inlineStr">
        <is>
          <t>'Fio importado chinês de fibra longa' — SEM percentual</t>
        </is>
      </c>
      <c r="J30" s="11" t="n">
        <v>4</v>
      </c>
      <c r="K30" s="12">
        <f>P27!$B$58</f>
        <v/>
      </c>
      <c r="L30" s="12">
        <f>P27!E60</f>
        <v/>
      </c>
      <c r="M30" s="12">
        <f>P27!D64</f>
        <v/>
      </c>
      <c r="N30" s="12">
        <f>P27!B70</f>
        <v/>
      </c>
      <c r="O30" s="12">
        <f>P27!B71</f>
        <v/>
      </c>
      <c r="P30" s="13">
        <f>P27!B74</f>
        <v/>
      </c>
      <c r="Q30" s="14" t="inlineStr">
        <is>
          <t>Composição não informada em % — só 'fio importado chinês'. Não dá para etiquetar (rotulagem têxtil exige composição) nem afirmar 'algodão'.</t>
        </is>
      </c>
    </row>
    <row r="31">
      <c r="A31" s="10" t="inlineStr">
        <is>
          <t>P28</t>
        </is>
      </c>
      <c r="B31" s="10" t="inlineStr">
        <is>
          <t>Moletom</t>
        </is>
      </c>
      <c r="C31" s="10" t="inlineStr">
        <is>
          <t>HMZT-P28-REG-PEL260</t>
        </is>
      </c>
      <c r="D31" s="10" t="inlineStr">
        <is>
          <t>Moletom Canguru Peluciado 260g com Capuz e Cordão</t>
        </is>
      </c>
      <c r="E31" s="10" t="inlineStr">
        <is>
          <t>Inverno — Hoodie (moletom canguru, peça de desejo)</t>
        </is>
      </c>
      <c r="F31" s="10" t="inlineStr">
        <is>
          <t>Regular fit com capuz</t>
        </is>
      </c>
      <c r="G31" s="10" t="inlineStr">
        <is>
          <t>Moletinho 2 cabos com peluciado interno (escovado)</t>
        </is>
      </c>
      <c r="H31" s="10" t="inlineStr">
        <is>
          <t>260 g/m² (texto) · ⚠️ arquivos das fotos: '240gsm'</t>
        </is>
      </c>
      <c r="I31" s="10" t="inlineStr">
        <is>
          <t>50% algodão + 50% poliéster</t>
        </is>
      </c>
      <c r="J31" s="11" t="n">
        <v>5</v>
      </c>
      <c r="K31" s="12">
        <f>P28!$B$62</f>
        <v/>
      </c>
      <c r="L31" s="12">
        <f>P28!E64</f>
        <v/>
      </c>
      <c r="M31" s="12">
        <f>P28!D68</f>
        <v/>
      </c>
      <c r="N31" s="12">
        <f>P28!B74</f>
        <v/>
      </c>
      <c r="O31" s="12">
        <f>P28!B75</f>
        <v/>
      </c>
      <c r="P31" s="13">
        <f>P28!B78</f>
        <v/>
      </c>
      <c r="Q31" s="14" t="inlineStr">
        <is>
          <t>Gramatura: página e ficha dizem 260 g; TODOS os 15 arquivos de foto se chamam 'moletom_canguru_2_cabos_basico_240gsm'. Ou a foto é de outro produto (240 g, 'básico'), ou a gramatura mudou.</t>
        </is>
      </c>
    </row>
    <row r="32">
      <c r="A32" s="10" t="inlineStr">
        <is>
          <t>P29</t>
        </is>
      </c>
      <c r="B32" s="10" t="inlineStr">
        <is>
          <t>Manga longa</t>
        </is>
      </c>
      <c r="C32" s="10" t="inlineStr">
        <is>
          <t>HMZT-P29-REG-ML300</t>
        </is>
      </c>
      <c r="D32" s="10" t="inlineStr">
        <is>
          <t>Blusa Manga Longa Gola Careca 300g (fio importado 2 cabos)</t>
        </is>
      </c>
      <c r="E32" s="10" t="inlineStr">
        <is>
          <t>Meia-estação — Manga longa clássica · condicionada à composição</t>
        </is>
      </c>
      <c r="F32" s="10" t="inlineStr">
        <is>
          <t>Regular fit, manga longa set-in</t>
        </is>
      </c>
      <c r="G32" s="10" t="inlineStr">
        <is>
          <t>Malha 2 cabos (double ply), sem peluciado; interior liso</t>
        </is>
      </c>
      <c r="H32" s="10" t="inlineStr">
        <is>
          <t>300 g/m²</t>
        </is>
      </c>
      <c r="I32" s="10" t="inlineStr">
        <is>
          <t>'Fio importado chinês de fibra longa' — SEM percentual</t>
        </is>
      </c>
      <c r="J32" s="11" t="n">
        <v>4</v>
      </c>
      <c r="K32" s="12">
        <f>P29!$B$59</f>
        <v/>
      </c>
      <c r="L32" s="12">
        <f>P29!E61</f>
        <v/>
      </c>
      <c r="M32" s="12">
        <f>P29!D65</f>
        <v/>
      </c>
      <c r="N32" s="12">
        <f>P29!B71</f>
        <v/>
      </c>
      <c r="O32" s="12">
        <f>P29!B72</f>
        <v/>
      </c>
      <c r="P32" s="13">
        <f>P29!B75</f>
        <v/>
      </c>
      <c r="Q32" s="14" t="inlineStr">
        <is>
          <t>Composição não informada em % — só 'fio importado chinês de fibra longa'. Não dá para etiquetar nem afirmar 'algodão'.</t>
        </is>
      </c>
    </row>
    <row r="34">
      <c r="A34" s="15" t="inlineStr">
        <is>
          <t>Valores em verde vêm das abas de cada produto. Custo e preço de venda são estimativas até chegarem os orçamentos.</t>
        </is>
      </c>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0" customWidth="1" min="1" max="1"/>
    <col width="38" customWidth="1" min="2" max="2"/>
    <col width="38" customWidth="1" min="3" max="3"/>
    <col width="38" customWidth="1" min="4" max="4"/>
  </cols>
  <sheetData>
    <row r="1">
      <c r="A1" s="16" t="inlineStr">
        <is>
          <t>Regras gerais — Lunfe Malhas (fabricação própria, Itajaí-SC)</t>
        </is>
      </c>
    </row>
    <row r="3">
      <c r="A3" s="17" t="inlineStr">
        <is>
          <t>Faixa</t>
        </is>
      </c>
      <c r="B3" s="17" t="inlineStr">
        <is>
          <t>De (pç)</t>
        </is>
      </c>
      <c r="C3" s="17" t="inlineStr">
        <is>
          <t>Até (pç)</t>
        </is>
      </c>
      <c r="D3" s="17" t="inlineStr">
        <is>
          <t>Desconto</t>
        </is>
      </c>
    </row>
    <row r="4">
      <c r="A4" s="18" t="inlineStr">
        <is>
          <t>Faixa 1</t>
        </is>
      </c>
      <c r="B4" s="19" t="n">
        <v>20</v>
      </c>
      <c r="C4" s="19" t="n">
        <v>40</v>
      </c>
      <c r="D4" s="20" t="n">
        <v>0.1</v>
      </c>
    </row>
    <row r="5">
      <c r="A5" s="18" t="inlineStr">
        <is>
          <t>Faixa 2</t>
        </is>
      </c>
      <c r="B5" s="19" t="n">
        <v>40</v>
      </c>
      <c r="C5" s="19" t="n">
        <v>80</v>
      </c>
      <c r="D5" s="20" t="n">
        <v>0.15</v>
      </c>
    </row>
    <row r="6">
      <c r="A6" s="18" t="inlineStr">
        <is>
          <t>Faixa 3</t>
        </is>
      </c>
      <c r="B6" s="19" t="n">
        <v>80</v>
      </c>
      <c r="C6" s="19" t="n">
        <v>100</v>
      </c>
      <c r="D6" s="20" t="n">
        <v>0.2</v>
      </c>
    </row>
    <row r="7">
      <c r="A7" s="18" t="inlineStr">
        <is>
          <t>Faixa 4</t>
        </is>
      </c>
      <c r="B7" s="19" t="n">
        <v>100</v>
      </c>
      <c r="C7" s="19" t="n">
        <v>300</v>
      </c>
      <c r="D7" s="20" t="n">
        <v>0.25</v>
      </c>
    </row>
    <row r="8">
      <c r="A8" s="18" t="inlineStr">
        <is>
          <t>Faixa 5</t>
        </is>
      </c>
      <c r="B8" s="19" t="n">
        <v>300</v>
      </c>
      <c r="C8" s="19" t="n">
        <v>999</v>
      </c>
      <c r="D8" s="20" t="n">
        <v>0.3</v>
      </c>
    </row>
    <row r="10">
      <c r="A10" t="inlineStr">
        <is>
          <t>Desconto Pix adicional</t>
        </is>
      </c>
      <c r="B10" s="21" t="n">
        <v>0.05</v>
      </c>
      <c r="C10" t="inlineStr">
        <is>
          <t>Sobre o preço já com desconto progressivo</t>
        </is>
      </c>
    </row>
    <row r="11">
      <c r="A11" t="inlineStr">
        <is>
          <t>Pedido mínimo (pç, pedido total)</t>
        </is>
      </c>
      <c r="B11" s="22" t="n">
        <v>20</v>
      </c>
    </row>
    <row r="13">
      <c r="A13" s="23" t="inlineStr">
        <is>
          <t>Outras condições</t>
        </is>
      </c>
    </row>
    <row r="14">
      <c r="A14" s="24" t="inlineStr">
        <is>
          <t>Cartão</t>
        </is>
      </c>
      <c r="B14" s="2" t="inlineStr">
        <is>
          <t>Até 6× sem juros no atacado (página do produto diz "com juros" ⚠️ — confirmar)</t>
        </is>
      </c>
    </row>
    <row r="15">
      <c r="A15" s="24" t="inlineStr">
        <is>
          <t>Boleto</t>
        </is>
      </c>
      <c r="B15" s="2" t="inlineStr">
        <is>
          <t>30/60 dias para cadastro aprovado acima de R$ 2.000</t>
        </is>
      </c>
    </row>
    <row r="16">
      <c r="A16" s="24" t="inlineStr">
        <is>
          <t>Amostra</t>
        </is>
      </c>
      <c r="B16" s="2" t="inlineStr">
        <is>
          <t>Até 2 peças, cobradas e abatidas no pedido aprovado; frete por conta do cliente</t>
        </is>
      </c>
    </row>
    <row r="17">
      <c r="A17" s="24" t="inlineStr">
        <is>
          <t>Mistura</t>
        </is>
      </c>
      <c r="B17" s="2" t="inlineStr">
        <is>
          <t>Mínimo de 20 peças no pedido total — mistura livre de produtos, modelos, cores e tamanhos; soma para o desconto</t>
        </is>
      </c>
    </row>
    <row r="18">
      <c r="A18" s="24" t="inlineStr">
        <is>
          <t>Cor Pantone exclusiva</t>
        </is>
      </c>
      <c r="B18" s="2" t="inlineStr">
        <is>
          <t>A partir de 100 peças/cor; 15–25 dias úteis</t>
        </is>
      </c>
    </row>
    <row r="19">
      <c r="A19" s="24" t="inlineStr">
        <is>
          <t>Embalagem customizada</t>
        </is>
      </c>
      <c r="B19" s="2" t="inlineStr">
        <is>
          <t>A partir de 50 peças</t>
        </is>
      </c>
    </row>
    <row r="20">
      <c r="A20" s="24" t="inlineStr">
        <is>
          <t>Personalização</t>
        </is>
      </c>
      <c r="B20" s="2" t="inlineStr">
        <is>
          <t>Silk, DTF, bordado, private label a partir de 20 peças — preço SEMPRE sob orçamento</t>
        </is>
      </c>
    </row>
    <row r="21">
      <c r="A21" s="24" t="inlineStr">
        <is>
          <t>Prazo</t>
        </is>
      </c>
      <c r="B21" s="2" t="inlineStr">
        <is>
          <t>Lisas em estoque: despacho em 24h úteis · personalizadas: sob consulta</t>
        </is>
      </c>
    </row>
    <row r="22">
      <c r="A22" s="24" t="inlineStr">
        <is>
          <t>Grade customizada</t>
        </is>
      </c>
      <c r="B22" s="2" t="inlineStr">
        <is>
          <t>Acima de 200 peças (sob consulta)</t>
        </is>
      </c>
    </row>
    <row r="23">
      <c r="A23" s="24" t="inlineStr">
        <is>
          <t>Molde regular</t>
        </is>
      </c>
      <c r="B23" s="2" t="inlineStr">
        <is>
          <t>Tabela única em todos os regulares: M = 72 × 54 cm, ombro 46, manga 18; P–EG, +2 cm por tamanho</t>
        </is>
      </c>
    </row>
    <row r="24">
      <c r="A24" s="24" t="inlineStr">
        <is>
          <t>Modelo das fotos</t>
        </is>
      </c>
      <c r="B24" s="2" t="inlineStr">
        <is>
          <t>1,84 m · 84 kg · veste M</t>
        </is>
      </c>
    </row>
    <row r="25">
      <c r="A25" s="24" t="inlineStr">
        <is>
          <t>Nota fiscal</t>
        </is>
      </c>
      <c r="B25" s="2" t="inlineStr">
        <is>
          <t>NF-e com CFOP de revenda; Simples, Presumido e Real</t>
        </is>
      </c>
    </row>
    <row r="26">
      <c r="A26" s="24" t="inlineStr">
        <is>
          <t>Fabricação</t>
        </is>
      </c>
      <c r="B26" s="2" t="inlineStr">
        <is>
          <t>Própria: tecelagem, tingimento, corte, confecção e tratamentos em Itajaí-SC</t>
        </is>
      </c>
    </row>
  </sheetData>
  <mergeCells count="13">
    <mergeCell ref="B19:D19"/>
    <mergeCell ref="B14:D14"/>
    <mergeCell ref="B23:D23"/>
    <mergeCell ref="B22:D22"/>
    <mergeCell ref="B17:D17"/>
    <mergeCell ref="B18:D18"/>
    <mergeCell ref="B26:D26"/>
    <mergeCell ref="B21:D21"/>
    <mergeCell ref="B15:D15"/>
    <mergeCell ref="B25:D25"/>
    <mergeCell ref="B24:D24"/>
    <mergeCell ref="B16:D16"/>
    <mergeCell ref="B20:D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1"/>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P01 — Camiseta Oversized Suedine Peruano 300g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HMZT-P01-OVS-SUE300</t>
        </is>
      </c>
    </row>
    <row r="5">
      <c r="A5" s="24" t="inlineStr">
        <is>
          <t>Fornecedor</t>
        </is>
      </c>
      <c r="B5" s="2" t="inlineStr">
        <is>
          <t>Lunfe Malhas — fabricação própria, Itajaí-SC</t>
        </is>
      </c>
    </row>
    <row r="6">
      <c r="A6" s="24" t="inlineStr">
        <is>
          <t>Referência</t>
        </is>
      </c>
      <c r="B6" s="2" t="inlineStr">
        <is>
          <t>7897385478523 (EAN-13)</t>
        </is>
      </c>
    </row>
    <row r="7">
      <c r="A7" s="24" t="inlineStr">
        <is>
          <t>URL</t>
        </is>
      </c>
      <c r="B7" s="2" t="inlineStr">
        <is>
          <t>lunfemalhas.com.br/camiseta-oversized-suedine-peruano-300g-atacado-lunfe</t>
        </is>
      </c>
    </row>
    <row r="8">
      <c r="A8" s="24" t="inlineStr">
        <is>
          <t>Categoria no site</t>
        </is>
      </c>
      <c r="B8" s="2" t="inlineStr">
        <is>
          <t>Camisetas › Masculino › Oversized</t>
        </is>
      </c>
    </row>
    <row r="9">
      <c r="A9" s="24" t="inlineStr">
        <is>
          <t>Linha HMZT recomendada</t>
        </is>
      </c>
      <c r="B9" s="2" t="inlineStr">
        <is>
          <t>Heavy (oversized)</t>
        </is>
      </c>
    </row>
    <row r="10">
      <c r="A10" s="24" t="inlineStr">
        <is>
          <t>Estoque</t>
        </is>
      </c>
      <c r="B10" s="2" t="inlineStr">
        <is>
          <t>Em estoque</t>
        </is>
      </c>
    </row>
    <row r="11">
      <c r="A11" s="24" t="inlineStr">
        <is>
          <t>Descritor canônico (IA)</t>
        </is>
      </c>
      <c r="B11" s="2" t="inlineStr">
        <is>
          <t>Camiseta masculina heavyweight oversized boxy, ombro caído, manga larga até acima do cotovelo, gola careca canelada, malha aveludada e fosca tipo camurça.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Modelagem</t>
        </is>
      </c>
      <c r="B15" s="10" t="inlineStr">
        <is>
          <t>Oversized boxy, ombro caído (drop shoulder)</t>
        </is>
      </c>
      <c r="C15" s="29" t="n"/>
      <c r="D15" s="29" t="n"/>
      <c r="E15" s="30" t="n"/>
    </row>
    <row r="16">
      <c r="A16" s="10" t="inlineStr">
        <is>
          <t>Gramatura</t>
        </is>
      </c>
      <c r="B16" s="10" t="inlineStr">
        <is>
          <t>300 g/m² (heavyweight)</t>
        </is>
      </c>
      <c r="C16" s="29" t="n"/>
      <c r="D16" s="29" t="n"/>
      <c r="E16" s="30" t="n"/>
    </row>
    <row r="17">
      <c r="A17" s="10" t="inlineStr">
        <is>
          <t>Tecido</t>
        </is>
      </c>
      <c r="B17" s="10" t="inlineStr">
        <is>
          <t>Suedine — acabamento escovado (peach finish), toque de camurça</t>
        </is>
      </c>
      <c r="C17" s="29" t="n"/>
      <c r="D17" s="29" t="n"/>
      <c r="E17" s="30" t="n"/>
    </row>
    <row r="18">
      <c r="A18" s="10" t="inlineStr">
        <is>
          <t>Composição</t>
        </is>
      </c>
      <c r="B18" s="10" t="inlineStr">
        <is>
          <t>52% algodão / 48% poliéster</t>
        </is>
      </c>
      <c r="C18" s="29" t="n"/>
      <c r="D18" s="29" t="n"/>
      <c r="E18" s="30" t="n"/>
    </row>
    <row r="19">
      <c r="A19" s="10" t="inlineStr">
        <is>
          <t>Gola</t>
        </is>
      </c>
      <c r="B19" s="10" t="inlineStr">
        <is>
          <t>Careca, ribana canelada média</t>
        </is>
      </c>
      <c r="C19" s="29" t="n"/>
      <c r="D19" s="29" t="n"/>
      <c r="E19" s="30" t="n"/>
    </row>
    <row r="20">
      <c r="A20" s="10" t="inlineStr">
        <is>
          <t>Manga</t>
        </is>
      </c>
      <c r="B20" s="10" t="inlineStr">
        <is>
          <t>Curta, larga, até acima do cotovelo</t>
        </is>
      </c>
      <c r="C20" s="29" t="n"/>
      <c r="D20" s="29" t="n"/>
      <c r="E20" s="30" t="n"/>
    </row>
    <row r="21">
      <c r="A21" s="10" t="inlineStr">
        <is>
          <t>Barra</t>
        </is>
      </c>
      <c r="B21" s="10" t="inlineStr">
        <is>
          <t>Reta, pouco abaixo do quadril</t>
        </is>
      </c>
      <c r="C21" s="29" t="n"/>
      <c r="D21" s="29" t="n"/>
      <c r="E21" s="30" t="n"/>
    </row>
    <row r="22">
      <c r="A22" s="10" t="inlineStr">
        <is>
          <t>Opacidade</t>
        </is>
      </c>
      <c r="B22" s="10" t="inlineStr">
        <is>
          <t>Total (mesma malha do P04)</t>
        </is>
      </c>
      <c r="C22" s="29" t="n"/>
      <c r="D22" s="29" t="n"/>
      <c r="E22" s="30" t="n"/>
    </row>
    <row r="23">
      <c r="A23" s="10" t="inlineStr">
        <is>
          <t>Irmão</t>
        </is>
      </c>
      <c r="B23" s="10" t="inlineStr">
        <is>
          <t>P04 — mesma malha, modelagem regular (texto do P04 confirma)</t>
        </is>
      </c>
      <c r="C23" s="29" t="n"/>
      <c r="D23" s="29" t="n"/>
      <c r="E23" s="30" t="n"/>
    </row>
    <row r="24">
      <c r="A24" s="10" t="inlineStr">
        <is>
          <t>Cuidados</t>
        </is>
      </c>
      <c r="B24" s="10" t="inlineStr">
        <is>
          <t>Lavar do avesso a 30 °C, sem secadora quente, não passar ferro direto na superfície</t>
        </is>
      </c>
      <c r="C24" s="29" t="n"/>
      <c r="D24" s="29" t="n"/>
      <c r="E24" s="30" t="n"/>
    </row>
    <row r="26">
      <c r="A26" s="27" t="inlineStr">
        <is>
          <t>3. Tabela de medidas (cm)</t>
        </is>
      </c>
      <c r="B26" s="28" t="n"/>
      <c r="C26" s="28" t="n"/>
      <c r="D26" s="28" t="n"/>
      <c r="E26" s="28" t="n"/>
      <c r="F26" s="28" t="n"/>
    </row>
    <row r="27" ht="30" customHeight="1">
      <c r="A27" s="8" t="inlineStr">
        <is>
          <t>⚠️ Tabela da oversized NÃO informada — pedir ao fornecedor (referência provisória: Chinese Heavyweight oversized, aba P05).</t>
        </is>
      </c>
    </row>
    <row r="28">
      <c r="A28" s="15" t="inlineStr">
        <is>
          <t>Modelo das fotos: 1,84 m · 84 kg · veste M</t>
        </is>
      </c>
    </row>
    <row r="30">
      <c r="A30" s="27" t="inlineStr">
        <is>
          <t>4. Cores disponíveis</t>
        </is>
      </c>
      <c r="B30" s="28" t="n"/>
      <c r="C30" s="28" t="n"/>
      <c r="D30" s="28" t="n"/>
      <c r="E30" s="28" t="n"/>
      <c r="F30" s="28" t="n"/>
    </row>
    <row r="31">
      <c r="A31" s="9" t="inlineStr">
        <is>
          <t>Cor</t>
        </is>
      </c>
      <c r="B31" s="9" t="inlineStr">
        <is>
          <t>Código HMZT</t>
        </is>
      </c>
      <c r="C31" s="9" t="inlineStr">
        <is>
          <t>Ref. fornecedor</t>
        </is>
      </c>
      <c r="D31" s="9" t="inlineStr">
        <is>
          <t>Observação</t>
        </is>
      </c>
    </row>
    <row r="32">
      <c r="A32" s="10" t="inlineStr">
        <is>
          <t>Off-white</t>
        </is>
      </c>
      <c r="B32" s="10" t="inlineStr">
        <is>
          <t>OFF</t>
        </is>
      </c>
      <c r="C32" s="10" t="inlineStr">
        <is>
          <t>—</t>
        </is>
      </c>
      <c r="D32" s="10" t="inlineStr">
        <is>
          <t>Cor das fotos</t>
        </is>
      </c>
    </row>
    <row r="33">
      <c r="A33" s="10" t="inlineStr">
        <is>
          <t>Areia / bege</t>
        </is>
      </c>
      <c r="B33" s="10" t="inlineStr">
        <is>
          <t>ARE</t>
        </is>
      </c>
      <c r="C33" s="10" t="inlineStr">
        <is>
          <t>—</t>
        </is>
      </c>
      <c r="D33" s="10" t="inlineStr"/>
    </row>
    <row r="34">
      <c r="A34" s="10" t="inlineStr">
        <is>
          <t>Cinza chumbo</t>
        </is>
      </c>
      <c r="B34" s="10" t="inlineStr">
        <is>
          <t>CHU</t>
        </is>
      </c>
      <c r="C34" s="10" t="inlineStr">
        <is>
          <t>—</t>
        </is>
      </c>
      <c r="D34" s="10" t="inlineStr"/>
    </row>
    <row r="35" ht="30" customHeight="1">
      <c r="A35" s="8" t="inlineStr">
        <is>
          <t>⚠️ Cartela da página. O texto do P04 (mesma malha) lista Preto, Off White, Bege, Marrom, Marinho (refs SDP-). Confirmar a cartela da oversized.</t>
        </is>
      </c>
    </row>
    <row r="37">
      <c r="A37" s="27" t="inlineStr">
        <is>
          <t>5. Personalização (preço sempre sob orçamento)</t>
        </is>
      </c>
      <c r="B37" s="28" t="n"/>
      <c r="C37" s="28" t="n"/>
      <c r="D37" s="28" t="n"/>
      <c r="E37" s="28" t="n"/>
      <c r="F37" s="28" t="n"/>
    </row>
    <row r="38">
      <c r="A38" s="9" t="inlineStr">
        <is>
          <t>Técnica</t>
        </is>
      </c>
      <c r="B38" s="9" t="inlineStr">
        <is>
          <t>Detalhe</t>
        </is>
      </c>
      <c r="C38" s="9" t="inlineStr">
        <is>
          <t>Mínimo</t>
        </is>
      </c>
    </row>
    <row r="39">
      <c r="A39" s="10" t="inlineStr">
        <is>
          <t>Silk base d'água</t>
        </is>
      </c>
      <c r="B39" s="10" t="inlineStr">
        <is>
          <t>Testar aderência sobre suedine</t>
        </is>
      </c>
      <c r="C39" s="10" t="inlineStr">
        <is>
          <t>20 pç</t>
        </is>
      </c>
    </row>
    <row r="40">
      <c r="A40" s="10" t="inlineStr">
        <is>
          <t>DTF</t>
        </is>
      </c>
      <c r="B40" s="10" t="inlineStr">
        <is>
          <t>Testar aderência</t>
        </is>
      </c>
      <c r="C40" s="10" t="inlineStr">
        <is>
          <t>20 pç</t>
        </is>
      </c>
    </row>
    <row r="41">
      <c r="A41" s="10" t="inlineStr">
        <is>
          <t>Bordado</t>
        </is>
      </c>
      <c r="B41" s="10" t="inlineStr">
        <is>
          <t>Melhor resultado; costas na oversized</t>
        </is>
      </c>
      <c r="C41" s="10" t="inlineStr">
        <is>
          <t>20 pç</t>
        </is>
      </c>
    </row>
    <row r="42">
      <c r="A42" s="10" t="inlineStr">
        <is>
          <t>Etiqueta private label</t>
        </is>
      </c>
      <c r="B42" s="10" t="inlineStr">
        <is>
          <t>Interna + tag</t>
        </is>
      </c>
      <c r="C42" s="10" t="inlineStr">
        <is>
          <t>20 pç</t>
        </is>
      </c>
    </row>
    <row r="43">
      <c r="A43" s="10" t="inlineStr">
        <is>
          <t>Embalagem customizada</t>
        </is>
      </c>
      <c r="B43" s="10" t="inlineStr"/>
      <c r="C43" s="10" t="inlineStr">
        <is>
          <t>50 pç</t>
        </is>
      </c>
    </row>
    <row r="44">
      <c r="A44" s="10" t="inlineStr">
        <is>
          <t>Cor Pantone</t>
        </is>
      </c>
      <c r="B44" s="10" t="inlineStr"/>
      <c r="C44" s="10" t="inlineStr">
        <is>
          <t>100 pç/cor</t>
        </is>
      </c>
    </row>
    <row r="46">
      <c r="A46" s="27" t="inlineStr">
        <is>
          <t>6. Preços do fornecedor (desconto progressivo)</t>
        </is>
      </c>
      <c r="B46" s="28" t="n"/>
      <c r="C46" s="28" t="n"/>
      <c r="D46" s="28" t="n"/>
      <c r="E46" s="28" t="n"/>
      <c r="F46" s="28" t="n"/>
    </row>
    <row r="47">
      <c r="A47" s="24" t="inlineStr">
        <is>
          <t>Preço base (R$)</t>
        </is>
      </c>
      <c r="B47" s="31" t="n">
        <v>54</v>
      </c>
    </row>
    <row r="48">
      <c r="A48" s="17" t="inlineStr">
        <is>
          <t>Faixa</t>
        </is>
      </c>
      <c r="B48" s="17" t="inlineStr">
        <is>
          <t>Peças</t>
        </is>
      </c>
      <c r="C48" s="17" t="inlineStr">
        <is>
          <t>Desconto</t>
        </is>
      </c>
      <c r="D48" s="17" t="inlineStr">
        <is>
          <t>Preço unitário</t>
        </is>
      </c>
      <c r="E48" s="17" t="inlineStr">
        <is>
          <t>Preço + Pix</t>
        </is>
      </c>
    </row>
    <row r="49">
      <c r="A49" s="18" t="inlineStr">
        <is>
          <t>Faixa 1</t>
        </is>
      </c>
      <c r="B49" s="18" t="inlineStr">
        <is>
          <t>20–40</t>
        </is>
      </c>
      <c r="C49" s="32">
        <f>'Regras Fornecedor'!$D$4</f>
        <v/>
      </c>
      <c r="D49" s="33">
        <f>ROUND($B$47*(1-C49),2)</f>
        <v/>
      </c>
      <c r="E49" s="34">
        <f>ROUND(D49*(1-'Regras Fornecedor'!$B$10),2)</f>
        <v/>
      </c>
    </row>
    <row r="50">
      <c r="A50" s="18" t="inlineStr">
        <is>
          <t>Faixa 2</t>
        </is>
      </c>
      <c r="B50" s="18" t="inlineStr">
        <is>
          <t>40–80</t>
        </is>
      </c>
      <c r="C50" s="32">
        <f>'Regras Fornecedor'!$D$5</f>
        <v/>
      </c>
      <c r="D50" s="33">
        <f>ROUND($B$47*(1-C50),2)</f>
        <v/>
      </c>
      <c r="E50" s="34">
        <f>ROUND(D50*(1-'Regras Fornecedor'!$B$10),2)</f>
        <v/>
      </c>
    </row>
    <row r="51">
      <c r="A51" s="18" t="inlineStr">
        <is>
          <t>Faixa 3</t>
        </is>
      </c>
      <c r="B51" s="18" t="inlineStr">
        <is>
          <t>80–100</t>
        </is>
      </c>
      <c r="C51" s="32">
        <f>'Regras Fornecedor'!$D$6</f>
        <v/>
      </c>
      <c r="D51" s="33">
        <f>ROUND($B$47*(1-C51),2)</f>
        <v/>
      </c>
      <c r="E51" s="34">
        <f>ROUND(D51*(1-'Regras Fornecedor'!$B$10),2)</f>
        <v/>
      </c>
    </row>
    <row r="52">
      <c r="A52" s="18" t="inlineStr">
        <is>
          <t>Faixa 4</t>
        </is>
      </c>
      <c r="B52" s="18" t="inlineStr">
        <is>
          <t>100–300</t>
        </is>
      </c>
      <c r="C52" s="32">
        <f>'Regras Fornecedor'!$D$7</f>
        <v/>
      </c>
      <c r="D52" s="33">
        <f>ROUND($B$47*(1-C52),2)</f>
        <v/>
      </c>
      <c r="E52" s="34">
        <f>ROUND(D52*(1-'Regras Fornecedor'!$B$10),2)</f>
        <v/>
      </c>
    </row>
    <row r="53">
      <c r="A53" s="18" t="inlineStr">
        <is>
          <t>Faixa 5</t>
        </is>
      </c>
      <c r="B53" s="18" t="inlineStr">
        <is>
          <t>300–999</t>
        </is>
      </c>
      <c r="C53" s="32">
        <f>'Regras Fornecedor'!$D$8</f>
        <v/>
      </c>
      <c r="D53" s="33">
        <f>ROUND($B$47*(1-C53),2)</f>
        <v/>
      </c>
      <c r="E53" s="34">
        <f>ROUND(D53*(1-'Regras Fornecedor'!$B$10),2)</f>
        <v/>
      </c>
    </row>
    <row r="55">
      <c r="A55" s="27" t="inlineStr">
        <is>
          <t>7. Custo HMZT e margem (lote de 20 peças, Pix)</t>
        </is>
      </c>
      <c r="B55" s="28" t="n"/>
      <c r="C55" s="28" t="n"/>
      <c r="D55" s="28" t="n"/>
      <c r="E55" s="28" t="n"/>
      <c r="F55" s="28" t="n"/>
    </row>
    <row r="56">
      <c r="A56" s="24" t="inlineStr">
        <is>
          <t>Peça (20 pç, Pix)</t>
        </is>
      </c>
      <c r="B56" s="35">
        <f>E49</f>
        <v/>
      </c>
    </row>
    <row r="57">
      <c r="A57" s="24" t="inlineStr">
        <is>
          <t>Personalização + etiqueta + tag (R$/pç)</t>
        </is>
      </c>
      <c r="B57" s="36" t="n">
        <v>16</v>
      </c>
      <c r="C57" s="15" t="inlineStr">
        <is>
          <t>Estimativa HMZT — trocar pelo orçamento real</t>
        </is>
      </c>
    </row>
    <row r="58">
      <c r="A58" s="24" t="inlineStr">
        <is>
          <t>Frete rateado + embalagem (R$/pç)</t>
        </is>
      </c>
      <c r="B58" s="36" t="n">
        <v>6</v>
      </c>
      <c r="C58" s="15" t="inlineStr">
        <is>
          <t>Estimativa HMZT — trocar pelo orçamento real</t>
        </is>
      </c>
    </row>
    <row r="59">
      <c r="A59" s="24" t="inlineStr">
        <is>
          <t>Custo unitário estimado</t>
        </is>
      </c>
      <c r="B59" s="37">
        <f>SUM(B56:B58)</f>
        <v/>
      </c>
    </row>
    <row r="60">
      <c r="A60" s="24" t="inlineStr">
        <is>
          <t>Preço de venda HMZT (R$)</t>
        </is>
      </c>
      <c r="B60" s="36" t="n">
        <v>169</v>
      </c>
      <c r="C60" s="15" t="inlineStr">
        <is>
          <t>Sugestão do dossiê — ajustar</t>
        </is>
      </c>
    </row>
    <row r="61">
      <c r="A61" s="24" t="inlineStr">
        <is>
          <t>Impostos + gateway (% do preço)</t>
        </is>
      </c>
      <c r="B61" s="38" t="n">
        <v>0</v>
      </c>
      <c r="C61" s="15" t="inlineStr">
        <is>
          <t>A preencher (Simples + taxa Asaas)</t>
        </is>
      </c>
    </row>
    <row r="62">
      <c r="A62" s="24" t="inlineStr">
        <is>
          <t>Margem bruta (R$)</t>
        </is>
      </c>
      <c r="B62" s="35">
        <f>B60-B59</f>
        <v/>
      </c>
    </row>
    <row r="63">
      <c r="A63" s="24" t="inlineStr">
        <is>
          <t>Margem bruta (%)</t>
        </is>
      </c>
      <c r="B63" s="39">
        <f>IF(B60=0,0,(B60-B59)/B60)</f>
        <v/>
      </c>
    </row>
    <row r="64">
      <c r="A64" s="24" t="inlineStr">
        <is>
          <t>Margem após impostos/gateway (%)</t>
        </is>
      </c>
      <c r="B64" s="39">
        <f>IF(B60=0,0,(B60*(1-B61)-B59)/B60)</f>
        <v/>
      </c>
      <c r="C64" s="15" t="inlineStr">
        <is>
          <t>Ainda sem frete ao cliente e mídia</t>
        </is>
      </c>
    </row>
    <row r="66">
      <c r="A66" s="27" t="inlineStr">
        <is>
          <t>8. Contradições e erros ⚠️</t>
        </is>
      </c>
      <c r="B66" s="28" t="n"/>
      <c r="C66" s="28" t="n"/>
      <c r="D66" s="28" t="n"/>
      <c r="E66" s="28" t="n"/>
      <c r="F66" s="28" t="n"/>
    </row>
    <row r="67">
      <c r="A67" s="8" t="inlineStr">
        <is>
          <t>⚠️ "Peruano" no nome, mas é 52/48 com poliéster — não é algodão peruano</t>
        </is>
      </c>
    </row>
    <row r="68">
      <c r="A68" s="8" t="inlineStr">
        <is>
          <t>⚠️ Tabela de medidas da oversized não informada</t>
        </is>
      </c>
    </row>
    <row r="69">
      <c r="A69" s="8" t="inlineStr">
        <is>
          <t>⚠️ Cartela da página × texto do P04 divergem</t>
        </is>
      </c>
    </row>
    <row r="71">
      <c r="A71" s="27" t="inlineStr">
        <is>
          <t>9. Comunicação HMZT</t>
        </is>
      </c>
      <c r="B71" s="28" t="n"/>
      <c r="C71" s="28" t="n"/>
      <c r="D71" s="28" t="n"/>
      <c r="E71" s="28" t="n"/>
      <c r="F71" s="28" t="n"/>
    </row>
    <row r="72">
      <c r="A72" s="24" t="inlineStr">
        <is>
          <t>✅ Pode usar</t>
        </is>
      </c>
      <c r="D72" s="24" t="inlineStr">
        <is>
          <t>📣 / ⛔ Não usar</t>
        </is>
      </c>
    </row>
    <row r="73">
      <c r="A73" s="40" t="inlineStr">
        <is>
          <t>Toque aveludado tipo camurça; acabamento físico que não sai na lavagem</t>
        </is>
      </c>
      <c r="D73" s="8" t="inlineStr">
        <is>
          <t>"Algodão peruano" (NUNCA)</t>
        </is>
      </c>
    </row>
    <row r="74">
      <c r="A74" s="40" t="inlineStr">
        <is>
          <t>Heavyweight 300 g/m², 100% opaca</t>
        </is>
      </c>
      <c r="D74" s="8" t="inlineStr">
        <is>
          <t>"Maior conversão por toque", "exclusiva no atacado"</t>
        </is>
      </c>
    </row>
    <row r="75">
      <c r="A75" s="40" t="inlineStr">
        <is>
          <t>Composição por extenso: 52% algodão, 48% poliéster</t>
        </is>
      </c>
      <c r="D75" s="8" t="inlineStr">
        <is>
          <t>"Percepção de R$ 149–199"</t>
        </is>
      </c>
    </row>
    <row r="76">
      <c r="A76" s="40" t="inlineStr">
        <is>
          <t>Fabricada em Santa Catarina</t>
        </is>
      </c>
    </row>
    <row r="78">
      <c r="A78" s="27" t="inlineStr">
        <is>
          <t>10. Pendências com o fornecedor</t>
        </is>
      </c>
      <c r="B78" s="28" t="n"/>
      <c r="C78" s="28" t="n"/>
      <c r="D78" s="28" t="n"/>
      <c r="E78" s="28" t="n"/>
      <c r="F78" s="28" t="n"/>
    </row>
    <row r="79">
      <c r="A79" s="9" t="inlineStr">
        <is>
          <t>Pendência</t>
        </is>
      </c>
      <c r="B79" s="9" t="inlineStr">
        <is>
          <t>Status</t>
        </is>
      </c>
      <c r="C79" s="9" t="inlineStr">
        <is>
          <t>Responsável</t>
        </is>
      </c>
      <c r="D79" s="9" t="inlineStr">
        <is>
          <t>Resposta</t>
        </is>
      </c>
    </row>
    <row r="80">
      <c r="A80" s="10" t="inlineStr">
        <is>
          <t>Tabela de medidas oversized</t>
        </is>
      </c>
      <c r="B80" s="11" t="inlineStr">
        <is>
          <t>Aberta</t>
        </is>
      </c>
      <c r="C80" s="11" t="inlineStr"/>
      <c r="D80" s="11" t="inlineStr"/>
    </row>
    <row r="81">
      <c r="A81" s="10" t="inlineStr">
        <is>
          <t>Cartela real de cores</t>
        </is>
      </c>
      <c r="B81" s="11" t="inlineStr">
        <is>
          <t>Aberta</t>
        </is>
      </c>
      <c r="C81" s="11" t="inlineStr"/>
      <c r="D81" s="11" t="inlineStr"/>
    </row>
    <row r="82">
      <c r="A82" s="10" t="inlineStr">
        <is>
          <t>O que significa "Peruano" no nome</t>
        </is>
      </c>
      <c r="B82" s="11" t="inlineStr">
        <is>
          <t>Aberta</t>
        </is>
      </c>
      <c r="C82" s="11" t="inlineStr"/>
      <c r="D82" s="11" t="inlineStr"/>
    </row>
    <row r="83">
      <c r="A83" s="10" t="inlineStr">
        <is>
          <t>Peça-teste de silk/DTF</t>
        </is>
      </c>
      <c r="B83" s="11" t="inlineStr">
        <is>
          <t>Aberta</t>
        </is>
      </c>
      <c r="C83" s="11" t="inlineStr"/>
      <c r="D83" s="11" t="inlineStr"/>
    </row>
    <row r="84">
      <c r="A84" s="10" t="inlineStr">
        <is>
          <t>Orçamento de personalização</t>
        </is>
      </c>
      <c r="B84" s="11" t="inlineStr">
        <is>
          <t>Aberta</t>
        </is>
      </c>
      <c r="C84" s="11" t="inlineStr"/>
      <c r="D84" s="11" t="inlineStr"/>
    </row>
    <row r="86">
      <c r="A86" s="27" t="inlineStr">
        <is>
          <t>11. Fluxo de prompts de lookbook (docs/shop-confeccao/prompts/P01-prompts.md)</t>
        </is>
      </c>
      <c r="B86" s="28" t="n"/>
      <c r="C86" s="28" t="n"/>
      <c r="D86" s="28" t="n"/>
      <c r="E86" s="28" t="n"/>
      <c r="F86" s="28" t="n"/>
    </row>
    <row r="87">
      <c r="A87" s="9" t="inlineStr">
        <is>
          <t>Foto</t>
        </is>
      </c>
      <c r="B87" s="9" t="inlineStr">
        <is>
          <t>Origem no print</t>
        </is>
      </c>
      <c r="C87" s="9" t="inlineStr">
        <is>
          <t>Formato</t>
        </is>
      </c>
      <c r="D87" s="9" t="inlineStr">
        <is>
          <t>Status</t>
        </is>
      </c>
    </row>
    <row r="88">
      <c r="A88" s="10" t="inlineStr">
        <is>
          <t>F1 — Hero 3/4 com mão no peito</t>
        </is>
      </c>
      <c r="B88" s="10" t="inlineStr">
        <is>
          <t>Foto principal (1ª do print e 1ª miniatura)</t>
        </is>
      </c>
      <c r="C88" s="10" t="inlineStr">
        <is>
          <t>4:5</t>
        </is>
      </c>
      <c r="D88" s="11" t="inlineStr">
        <is>
          <t>A gerar</t>
        </is>
      </c>
    </row>
    <row r="89">
      <c r="A89" s="10" t="inlineStr">
        <is>
          <t>F2 — Detalhe gola, ombro caído e manga</t>
        </is>
      </c>
      <c r="B89" s="10" t="inlineStr">
        <is>
          <t>2ª foto e 2ª miniatura</t>
        </is>
      </c>
      <c r="C89" s="10" t="inlineStr">
        <is>
          <t>4:5</t>
        </is>
      </c>
      <c r="D89" s="11" t="inlineStr">
        <is>
          <t>A gerar</t>
        </is>
      </c>
    </row>
    <row r="90">
      <c r="A90" s="10" t="inlineStr">
        <is>
          <t>F3 — Frontal com mãos nos bolsos</t>
        </is>
      </c>
      <c r="B90" s="10" t="inlineStr">
        <is>
          <t>3ª foto e 3ª miniatura</t>
        </is>
      </c>
      <c r="C90" s="10" t="inlineStr">
        <is>
          <t>4:5</t>
        </is>
      </c>
      <c r="D90" s="11" t="inlineStr">
        <is>
          <t>A gerar</t>
        </is>
      </c>
    </row>
    <row r="91">
      <c r="A91" s="10" t="inlineStr">
        <is>
          <t>F4 — Corpo inteiro frontal</t>
        </is>
      </c>
      <c r="B91" s="10" t="inlineStr">
        <is>
          <t>4ª miniatura (baixa resolução — leitura aproximada)</t>
        </is>
      </c>
      <c r="C91" s="10" t="inlineStr">
        <is>
          <t>4:5</t>
        </is>
      </c>
      <c r="D91" s="11" t="inlineStr">
        <is>
          <t>A gerar</t>
        </is>
      </c>
    </row>
  </sheetData>
  <mergeCells count="30">
    <mergeCell ref="B4:F4"/>
    <mergeCell ref="B7:F7"/>
    <mergeCell ref="A75:C75"/>
    <mergeCell ref="A27:F27"/>
    <mergeCell ref="A74:C74"/>
    <mergeCell ref="B15:E15"/>
    <mergeCell ref="B24:E24"/>
    <mergeCell ref="D75:F75"/>
    <mergeCell ref="B20:E20"/>
    <mergeCell ref="A76:C76"/>
    <mergeCell ref="B11:F11"/>
    <mergeCell ref="B16:E16"/>
    <mergeCell ref="A35:F35"/>
    <mergeCell ref="D74:F74"/>
    <mergeCell ref="B8:F8"/>
    <mergeCell ref="B22:E22"/>
    <mergeCell ref="D73:F73"/>
    <mergeCell ref="B18:E18"/>
    <mergeCell ref="A68:F68"/>
    <mergeCell ref="B10:F10"/>
    <mergeCell ref="B21:E21"/>
    <mergeCell ref="A67:F67"/>
    <mergeCell ref="B9:F9"/>
    <mergeCell ref="A73:C73"/>
    <mergeCell ref="B17:E17"/>
    <mergeCell ref="B23:E23"/>
    <mergeCell ref="B6:F6"/>
    <mergeCell ref="B5:F5"/>
    <mergeCell ref="B19:E19"/>
    <mergeCell ref="A69:F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8"/>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P02 — Camiseta Oversized Drop Shoulder Algodão Penteado 185g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HMZT-P02-OVS-ALG185</t>
        </is>
      </c>
    </row>
    <row r="5">
      <c r="A5" s="24" t="inlineStr">
        <is>
          <t>Fornecedor</t>
        </is>
      </c>
      <c r="B5" s="2" t="inlineStr">
        <is>
          <t>Lunfe Malhas — fabricação própria, Itajaí-SC</t>
        </is>
      </c>
    </row>
    <row r="6">
      <c r="A6" s="24" t="inlineStr">
        <is>
          <t>Referência</t>
        </is>
      </c>
      <c r="B6" s="2" t="inlineStr">
        <is>
          <t>7899196241006</t>
        </is>
      </c>
    </row>
    <row r="7">
      <c r="A7" s="24" t="inlineStr">
        <is>
          <t>URL</t>
        </is>
      </c>
      <c r="B7" s="2" t="inlineStr">
        <is>
          <t>lunfemalhas.com.br/camiseta-oversized-drop-shoulder-atacado-185g-lunfe</t>
        </is>
      </c>
    </row>
    <row r="8">
      <c r="A8" s="24" t="inlineStr">
        <is>
          <t>Categoria no site</t>
        </is>
      </c>
      <c r="B8" s="2" t="inlineStr">
        <is>
          <t>Camisetas › Masculino › Oversized</t>
        </is>
      </c>
    </row>
    <row r="9">
      <c r="A9" s="24" t="inlineStr">
        <is>
          <t>Linha HMZT recomendada</t>
        </is>
      </c>
      <c r="B9" s="2" t="inlineStr">
        <is>
          <t>Essencial — oversized (drops com estampa, eventos)</t>
        </is>
      </c>
    </row>
    <row r="10">
      <c r="A10" s="24" t="inlineStr">
        <is>
          <t>Estoque</t>
        </is>
      </c>
      <c r="B10" s="2" t="inlineStr">
        <is>
          <t>Disponibilidade imediata; 2 cores; despacho em 24h úteis</t>
        </is>
      </c>
    </row>
    <row r="11">
      <c r="A11" s="24" t="inlineStr">
        <is>
          <t>Descritor canônico (IA)</t>
        </is>
      </c>
      <c r="B11" s="2" t="inlineStr">
        <is>
          <t>Camiseta masculina oversized drop shoulder, manga curta larga até acima do cotovelo, ombro caído cerca de 2 cm além do ombro, gola careca canelada fina, meia malha 100% algodão penteado de 185 g/m² com superfície lisa e fosca, caimento amplo e leve com dobras suaves, barra dupla reta abaixo do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penteado</t>
        </is>
      </c>
      <c r="C15" s="29" t="n"/>
      <c r="D15" s="29" t="n"/>
      <c r="E15" s="30" t="n"/>
    </row>
    <row r="16">
      <c r="A16" s="10" t="inlineStr">
        <is>
          <t>Gramatura</t>
        </is>
      </c>
      <c r="B16" s="10" t="inlineStr">
        <is>
          <t>185 g/m² (resumo do topo diz 300 g/m²)</t>
        </is>
      </c>
      <c r="C16" s="29" t="n"/>
      <c r="D16" s="29" t="n"/>
      <c r="E16" s="30" t="n"/>
    </row>
    <row r="17">
      <c r="A17" s="10" t="inlineStr">
        <is>
          <t>Tecido</t>
        </is>
      </c>
      <c r="B17" s="10" t="inlineStr">
        <is>
          <t>Meia malha lisa, sem acabamento especial</t>
        </is>
      </c>
      <c r="C17" s="29" t="n"/>
      <c r="D17" s="29" t="n"/>
      <c r="E17" s="30" t="n"/>
    </row>
    <row r="18">
      <c r="A18" s="10" t="inlineStr">
        <is>
          <t>Modelagem</t>
        </is>
      </c>
      <c r="B18" s="10" t="inlineStr">
        <is>
          <t>Oversized drop shoulder — ombro caído, corpo amplo, comprimento alongado</t>
        </is>
      </c>
      <c r="C18" s="29" t="n"/>
      <c r="D18" s="29" t="n"/>
      <c r="E18" s="30" t="n"/>
    </row>
    <row r="19">
      <c r="A19" s="10" t="inlineStr">
        <is>
          <t>Gola</t>
        </is>
      </c>
      <c r="B19" s="10" t="inlineStr">
        <is>
          <t>Canelada 2/1, fecho em anel, reforço ombro a ombro</t>
        </is>
      </c>
      <c r="C19" s="29" t="n"/>
      <c r="D19" s="29" t="n"/>
      <c r="E19" s="30" t="n"/>
    </row>
    <row r="20">
      <c r="A20" s="10" t="inlineStr">
        <is>
          <t>Costuras</t>
        </is>
      </c>
      <c r="B20" s="10" t="inlineStr">
        <is>
          <t>Ponto cadeia em todas as emendas</t>
        </is>
      </c>
      <c r="C20" s="29" t="n"/>
      <c r="D20" s="29" t="n"/>
      <c r="E20" s="30" t="n"/>
    </row>
    <row r="21">
      <c r="A21" s="10" t="inlineStr">
        <is>
          <t>Barras</t>
        </is>
      </c>
      <c r="B21" s="10" t="inlineStr">
        <is>
          <t>Dupla nas mangas e na barra inferior</t>
        </is>
      </c>
      <c r="C21" s="29" t="n"/>
      <c r="D21" s="29" t="n"/>
      <c r="E21" s="30" t="n"/>
    </row>
    <row r="22">
      <c r="A22" s="10" t="inlineStr">
        <is>
          <t>Tratamentos</t>
        </is>
      </c>
      <c r="B22" s="10" t="inlineStr">
        <is>
          <t>Pré-encolhimento mecânico, tingimento reativo, anti-torção, amaciamento</t>
        </is>
      </c>
      <c r="C22" s="29" t="n"/>
      <c r="D22" s="29" t="n"/>
      <c r="E22" s="30" t="n"/>
    </row>
    <row r="23">
      <c r="A23" s="10" t="inlineStr">
        <is>
          <t>Tamanhos</t>
        </is>
      </c>
      <c r="B23" s="10" t="inlineStr">
        <is>
          <t>P, M, G, GG, EG (grade oversized)</t>
        </is>
      </c>
      <c r="C23" s="29" t="n"/>
      <c r="D23" s="29" t="n"/>
      <c r="E23" s="30" t="n"/>
    </row>
    <row r="24">
      <c r="A24" s="10" t="inlineStr">
        <is>
          <t>Queda do ombro</t>
        </is>
      </c>
      <c r="B24" s="10" t="inlineStr">
        <is>
          <t>Texto: 4–8 cm abaixo do ombro; tabela: só +2 cm por lado</t>
        </is>
      </c>
      <c r="C24" s="29" t="n"/>
      <c r="D24" s="29" t="n"/>
      <c r="E24" s="30" t="n"/>
    </row>
    <row r="25">
      <c r="A25" s="10" t="inlineStr">
        <is>
          <t>Giro</t>
        </is>
      </c>
      <c r="B25" s="10" t="inlineStr">
        <is>
          <t>'A oversized mais vendida', 'maior giro do catálogo'</t>
        </is>
      </c>
      <c r="C25" s="29" t="n"/>
      <c r="D25" s="29" t="n"/>
      <c r="E25" s="30" t="n"/>
    </row>
    <row r="26">
      <c r="A26" s="10" t="inlineStr">
        <is>
          <t>Produção</t>
        </is>
      </c>
      <c r="B26" s="10" t="inlineStr">
        <is>
          <t>Fabricação própria — Itajaí, SC</t>
        </is>
      </c>
      <c r="C26" s="29" t="n"/>
      <c r="D26" s="29" t="n"/>
      <c r="E26" s="30" t="n"/>
    </row>
    <row r="28">
      <c r="A28" s="27" t="inlineStr">
        <is>
          <t>3. Tabela de medidas (cm)</t>
        </is>
      </c>
      <c r="B28" s="28" t="n"/>
      <c r="C28" s="28" t="n"/>
      <c r="D28" s="28" t="n"/>
      <c r="E28" s="28" t="n"/>
      <c r="F28" s="28" t="n"/>
    </row>
    <row r="29">
      <c r="A29" s="24" t="inlineStr">
        <is>
          <t>Tabela 1</t>
        </is>
      </c>
    </row>
    <row r="30">
      <c r="A30" s="9" t="inlineStr">
        <is>
          <t>Tamanho</t>
        </is>
      </c>
      <c r="B30" s="9" t="inlineStr">
        <is>
          <t>Comprimento</t>
        </is>
      </c>
      <c r="C30" s="9" t="inlineStr">
        <is>
          <t>Largura</t>
        </is>
      </c>
      <c r="D30" s="9" t="inlineStr">
        <is>
          <t>Ombros</t>
        </is>
      </c>
      <c r="E30" s="9" t="inlineStr">
        <is>
          <t>Mangas</t>
        </is>
      </c>
    </row>
    <row r="31">
      <c r="A31" s="10" t="inlineStr">
        <is>
          <t>P</t>
        </is>
      </c>
      <c r="B31" s="11" t="n">
        <v>74</v>
      </c>
      <c r="C31" s="11" t="n">
        <v>56</v>
      </c>
      <c r="D31" s="11" t="n">
        <v>48</v>
      </c>
      <c r="E31" s="11" t="n">
        <v>20</v>
      </c>
    </row>
    <row r="32">
      <c r="A32" s="10" t="inlineStr">
        <is>
          <t>M</t>
        </is>
      </c>
      <c r="B32" s="11" t="n">
        <v>76</v>
      </c>
      <c r="C32" s="11" t="n">
        <v>58</v>
      </c>
      <c r="D32" s="11" t="n">
        <v>50</v>
      </c>
      <c r="E32" s="11" t="n">
        <v>22</v>
      </c>
    </row>
    <row r="33">
      <c r="A33" s="10" t="inlineStr">
        <is>
          <t>G</t>
        </is>
      </c>
      <c r="B33" s="11" t="n">
        <v>78</v>
      </c>
      <c r="C33" s="11" t="n">
        <v>60</v>
      </c>
      <c r="D33" s="11" t="n">
        <v>52</v>
      </c>
      <c r="E33" s="11" t="n">
        <v>24</v>
      </c>
    </row>
    <row r="34">
      <c r="A34" s="10" t="inlineStr">
        <is>
          <t>GG</t>
        </is>
      </c>
      <c r="B34" s="11" t="n">
        <v>80</v>
      </c>
      <c r="C34" s="11" t="n">
        <v>62</v>
      </c>
      <c r="D34" s="11" t="n">
        <v>54</v>
      </c>
      <c r="E34" s="11" t="n">
        <v>26</v>
      </c>
    </row>
    <row r="35">
      <c r="A35" s="10" t="inlineStr">
        <is>
          <t>EG</t>
        </is>
      </c>
      <c r="B35" s="11" t="n">
        <v>82</v>
      </c>
      <c r="C35" s="11" t="n">
        <v>64</v>
      </c>
      <c r="D35" s="11" t="n">
        <v>56</v>
      </c>
      <c r="E35" s="11" t="n">
        <v>28</v>
      </c>
    </row>
    <row r="36">
      <c r="A36" s="24" t="inlineStr">
        <is>
          <t>Regular Lunfe (comparação)</t>
        </is>
      </c>
    </row>
    <row r="37">
      <c r="A37" s="9" t="inlineStr">
        <is>
          <t>Tamanho</t>
        </is>
      </c>
      <c r="B37" s="9" t="inlineStr">
        <is>
          <t>Comprimento</t>
        </is>
      </c>
      <c r="C37" s="9" t="inlineStr">
        <is>
          <t>Largura</t>
        </is>
      </c>
      <c r="D37" s="9" t="inlineStr">
        <is>
          <t>Ombros</t>
        </is>
      </c>
      <c r="E37" s="9" t="inlineStr">
        <is>
          <t>Mangas</t>
        </is>
      </c>
    </row>
    <row r="38">
      <c r="A38" s="10" t="inlineStr">
        <is>
          <t>P</t>
        </is>
      </c>
      <c r="B38" s="11" t="n">
        <v>70</v>
      </c>
      <c r="C38" s="11" t="n">
        <v>52</v>
      </c>
      <c r="D38" s="11" t="n">
        <v>44</v>
      </c>
      <c r="E38" s="11" t="n">
        <v>16</v>
      </c>
    </row>
    <row r="39">
      <c r="A39" s="10" t="inlineStr">
        <is>
          <t>M</t>
        </is>
      </c>
      <c r="B39" s="11" t="n">
        <v>72</v>
      </c>
      <c r="C39" s="11" t="n">
        <v>54</v>
      </c>
      <c r="D39" s="11" t="n">
        <v>46</v>
      </c>
      <c r="E39" s="11" t="n">
        <v>18</v>
      </c>
    </row>
    <row r="40">
      <c r="A40" s="10" t="inlineStr">
        <is>
          <t>G</t>
        </is>
      </c>
      <c r="B40" s="11" t="n">
        <v>74</v>
      </c>
      <c r="C40" s="11" t="n">
        <v>56</v>
      </c>
      <c r="D40" s="11" t="n">
        <v>48</v>
      </c>
      <c r="E40" s="11" t="n">
        <v>20</v>
      </c>
    </row>
    <row r="41">
      <c r="A41" s="10" t="inlineStr">
        <is>
          <t>GG</t>
        </is>
      </c>
      <c r="B41" s="11" t="n">
        <v>76</v>
      </c>
      <c r="C41" s="11" t="n">
        <v>58</v>
      </c>
      <c r="D41" s="11" t="n">
        <v>50</v>
      </c>
      <c r="E41" s="11" t="n">
        <v>22</v>
      </c>
    </row>
    <row r="42">
      <c r="A42" s="10" t="inlineStr">
        <is>
          <t>EG</t>
        </is>
      </c>
      <c r="B42" s="11" t="n">
        <v>78</v>
      </c>
      <c r="C42" s="11" t="n">
        <v>60</v>
      </c>
      <c r="D42" s="11" t="n">
        <v>52</v>
      </c>
      <c r="E42" s="11" t="n">
        <v>24</v>
      </c>
    </row>
    <row r="43" ht="30" customHeight="1">
      <c r="A43" s="2" t="inlineStr">
        <is>
          <t>Grade oversized oficial, em cm, ± 2 cm. M oversized = regular +4 cm em todas as medidas. Modelo 1,84 m / 84 kg veste M. Única tabela oversized publicada — referência provisória para P01 e P10.</t>
        </is>
      </c>
    </row>
    <row r="44">
      <c r="A44" s="15" t="inlineStr">
        <is>
          <t>Modelo das fotos: 1,84 m · 84 kg · veste M</t>
        </is>
      </c>
    </row>
    <row r="46">
      <c r="A46" s="27" t="inlineStr">
        <is>
          <t>4. Cores disponíveis</t>
        </is>
      </c>
      <c r="B46" s="28" t="n"/>
      <c r="C46" s="28" t="n"/>
      <c r="D46" s="28" t="n"/>
      <c r="E46" s="28" t="n"/>
      <c r="F46" s="28" t="n"/>
    </row>
    <row r="47">
      <c r="A47" s="9" t="inlineStr">
        <is>
          <t>Cor</t>
        </is>
      </c>
      <c r="B47" s="9" t="inlineStr">
        <is>
          <t>Código HMZT</t>
        </is>
      </c>
      <c r="C47" s="9" t="inlineStr">
        <is>
          <t>Ref. fornecedor</t>
        </is>
      </c>
      <c r="D47" s="9" t="inlineStr">
        <is>
          <t>Observação</t>
        </is>
      </c>
    </row>
    <row r="48">
      <c r="A48" s="10" t="inlineStr">
        <is>
          <t>Preto</t>
        </is>
      </c>
      <c r="B48" s="10" t="inlineStr">
        <is>
          <t>PRT</t>
        </is>
      </c>
      <c r="C48" s="10" t="inlineStr">
        <is>
          <t>OVD-PRT</t>
        </is>
      </c>
      <c r="D48" s="10" t="inlineStr">
        <is>
          <t>Cor das fotos #1–5</t>
        </is>
      </c>
    </row>
    <row r="49">
      <c r="A49" s="10" t="inlineStr">
        <is>
          <t>Branco</t>
        </is>
      </c>
      <c r="B49" s="10" t="inlineStr">
        <is>
          <t>BCO</t>
        </is>
      </c>
      <c r="C49" s="10" t="inlineStr">
        <is>
          <t>OVD-BRA</t>
        </is>
      </c>
      <c r="D49" s="10" t="inlineStr">
        <is>
          <t>Fotos #6–10; opaco nas fotos</t>
        </is>
      </c>
    </row>
    <row r="50" ht="30" customHeight="1">
      <c r="A50" s="2" t="inlineStr">
        <is>
          <t>Só 2 cores. Pantone a partir de 100 pç/cor, 15–25 dias úteis. A peça cinza do print de 29/09 não existe na cartela atual.</t>
        </is>
      </c>
    </row>
    <row r="52">
      <c r="A52" s="27" t="inlineStr">
        <is>
          <t>5. Personalização (preço sempre sob orçamento)</t>
        </is>
      </c>
      <c r="B52" s="28" t="n"/>
      <c r="C52" s="28" t="n"/>
      <c r="D52" s="28" t="n"/>
      <c r="E52" s="28" t="n"/>
      <c r="F52" s="28" t="n"/>
    </row>
    <row r="53">
      <c r="A53" s="9" t="inlineStr">
        <is>
          <t>Técnica</t>
        </is>
      </c>
      <c r="B53" s="9" t="inlineStr">
        <is>
          <t>Detalhe</t>
        </is>
      </c>
      <c r="C53" s="9" t="inlineStr">
        <is>
          <t>Mínimo</t>
        </is>
      </c>
    </row>
    <row r="54">
      <c r="A54" s="10" t="inlineStr">
        <is>
          <t>Silk base d'água</t>
        </is>
      </c>
      <c r="B54" s="10" t="inlineStr">
        <is>
          <t>Toque zero — ideal para costas</t>
        </is>
      </c>
      <c r="C54" s="10" t="inlineStr">
        <is>
          <t>20 pç</t>
        </is>
      </c>
    </row>
    <row r="55">
      <c r="A55" s="10" t="inlineStr">
        <is>
          <t>Silk plastisol</t>
        </is>
      </c>
      <c r="B55" s="10" t="inlineStr">
        <is>
          <t>Cobertura em base preta</t>
        </is>
      </c>
      <c r="C55" s="10" t="inlineStr">
        <is>
          <t>20 pç</t>
        </is>
      </c>
    </row>
    <row r="56">
      <c r="A56" s="10" t="inlineStr">
        <is>
          <t>Gel alto relevo / Puff 3D / Foil / Silicone 3D</t>
        </is>
      </c>
      <c r="B56" s="10" t="inlineStr">
        <is>
          <t>Efeitos para drops</t>
        </is>
      </c>
      <c r="C56" s="10" t="inlineStr">
        <is>
          <t>20 pç</t>
        </is>
      </c>
    </row>
    <row r="57">
      <c r="A57" s="10" t="inlineStr">
        <is>
          <t>DTF</t>
        </is>
      </c>
      <c r="B57" s="10" t="inlineStr">
        <is>
          <t>Full color</t>
        </is>
      </c>
      <c r="C57" s="10" t="inlineStr">
        <is>
          <t>20 pç</t>
        </is>
      </c>
    </row>
    <row r="58">
      <c r="A58" s="10" t="inlineStr">
        <is>
          <t>Bordado industrial</t>
        </is>
      </c>
      <c r="B58" s="10" t="inlineStr">
        <is>
          <t>Peito pequeno com entretela (malha leve repuxa)</t>
        </is>
      </c>
      <c r="C58" s="10" t="inlineStr">
        <is>
          <t>20 pç</t>
        </is>
      </c>
    </row>
    <row r="59">
      <c r="A59" s="10" t="inlineStr">
        <is>
          <t>Etiqueta private label</t>
        </is>
      </c>
      <c r="B59" s="10" t="inlineStr">
        <is>
          <t>Interna + tag</t>
        </is>
      </c>
      <c r="C59" s="10" t="inlineStr">
        <is>
          <t>20 pç</t>
        </is>
      </c>
    </row>
    <row r="60">
      <c r="A60" s="10" t="inlineStr">
        <is>
          <t>Embalagem customizada</t>
        </is>
      </c>
      <c r="B60" s="10" t="inlineStr">
        <is>
          <t>Saco, caixa, tag</t>
        </is>
      </c>
      <c r="C60" s="10" t="inlineStr">
        <is>
          <t>50 pç</t>
        </is>
      </c>
    </row>
    <row r="61">
      <c r="A61" s="10" t="inlineStr">
        <is>
          <t>Cor Pantone</t>
        </is>
      </c>
      <c r="B61" s="10" t="inlineStr">
        <is>
          <t>Tingimento exclusivo</t>
        </is>
      </c>
      <c r="C61" s="10" t="inlineStr">
        <is>
          <t>100 pç/cor</t>
        </is>
      </c>
    </row>
    <row r="63">
      <c r="A63" s="27" t="inlineStr">
        <is>
          <t>6. Preços do fornecedor (desconto progressivo)</t>
        </is>
      </c>
      <c r="B63" s="28" t="n"/>
      <c r="C63" s="28" t="n"/>
      <c r="D63" s="28" t="n"/>
      <c r="E63" s="28" t="n"/>
      <c r="F63" s="28" t="n"/>
    </row>
    <row r="64">
      <c r="A64" s="24" t="inlineStr">
        <is>
          <t>Preço base (R$)</t>
        </is>
      </c>
      <c r="B64" s="31" t="n">
        <v>39.78</v>
      </c>
    </row>
    <row r="65">
      <c r="A65" s="17" t="inlineStr">
        <is>
          <t>Faixa</t>
        </is>
      </c>
      <c r="B65" s="17" t="inlineStr">
        <is>
          <t>Peças</t>
        </is>
      </c>
      <c r="C65" s="17" t="inlineStr">
        <is>
          <t>Desconto</t>
        </is>
      </c>
      <c r="D65" s="17" t="inlineStr">
        <is>
          <t>Preço unitário</t>
        </is>
      </c>
      <c r="E65" s="17" t="inlineStr">
        <is>
          <t>Preço + Pix</t>
        </is>
      </c>
    </row>
    <row r="66">
      <c r="A66" s="18" t="inlineStr">
        <is>
          <t>Faixa 1</t>
        </is>
      </c>
      <c r="B66" s="18" t="inlineStr">
        <is>
          <t>20–40</t>
        </is>
      </c>
      <c r="C66" s="32">
        <f>'Regras Fornecedor'!$D$4</f>
        <v/>
      </c>
      <c r="D66" s="33">
        <f>ROUND($B$64*(1-C66),2)</f>
        <v/>
      </c>
      <c r="E66" s="34">
        <f>ROUND(D66*(1-'Regras Fornecedor'!$B$10),2)</f>
        <v/>
      </c>
    </row>
    <row r="67">
      <c r="A67" s="18" t="inlineStr">
        <is>
          <t>Faixa 2</t>
        </is>
      </c>
      <c r="B67" s="18" t="inlineStr">
        <is>
          <t>40–80</t>
        </is>
      </c>
      <c r="C67" s="32">
        <f>'Regras Fornecedor'!$D$5</f>
        <v/>
      </c>
      <c r="D67" s="33">
        <f>ROUND($B$64*(1-C67),2)</f>
        <v/>
      </c>
      <c r="E67" s="34">
        <f>ROUND(D67*(1-'Regras Fornecedor'!$B$10),2)</f>
        <v/>
      </c>
    </row>
    <row r="68">
      <c r="A68" s="18" t="inlineStr">
        <is>
          <t>Faixa 3</t>
        </is>
      </c>
      <c r="B68" s="18" t="inlineStr">
        <is>
          <t>80–100</t>
        </is>
      </c>
      <c r="C68" s="32">
        <f>'Regras Fornecedor'!$D$6</f>
        <v/>
      </c>
      <c r="D68" s="33">
        <f>ROUND($B$64*(1-C68),2)</f>
        <v/>
      </c>
      <c r="E68" s="34">
        <f>ROUND(D68*(1-'Regras Fornecedor'!$B$10),2)</f>
        <v/>
      </c>
    </row>
    <row r="69">
      <c r="A69" s="18" t="inlineStr">
        <is>
          <t>Faixa 4</t>
        </is>
      </c>
      <c r="B69" s="18" t="inlineStr">
        <is>
          <t>100–300</t>
        </is>
      </c>
      <c r="C69" s="32">
        <f>'Regras Fornecedor'!$D$7</f>
        <v/>
      </c>
      <c r="D69" s="33">
        <f>ROUND($B$64*(1-C69),2)</f>
        <v/>
      </c>
      <c r="E69" s="34">
        <f>ROUND(D69*(1-'Regras Fornecedor'!$B$10),2)</f>
        <v/>
      </c>
    </row>
    <row r="70">
      <c r="A70" s="18" t="inlineStr">
        <is>
          <t>Faixa 5</t>
        </is>
      </c>
      <c r="B70" s="18" t="inlineStr">
        <is>
          <t>300–999</t>
        </is>
      </c>
      <c r="C70" s="32">
        <f>'Regras Fornecedor'!$D$8</f>
        <v/>
      </c>
      <c r="D70" s="33">
        <f>ROUND($B$64*(1-C70),2)</f>
        <v/>
      </c>
      <c r="E70" s="34">
        <f>ROUND(D70*(1-'Regras Fornecedor'!$B$10),2)</f>
        <v/>
      </c>
    </row>
    <row r="72">
      <c r="A72" s="27" t="inlineStr">
        <is>
          <t>7. Custo HMZT e margem (lote de 20 peças, Pix)</t>
        </is>
      </c>
      <c r="B72" s="28" t="n"/>
      <c r="C72" s="28" t="n"/>
      <c r="D72" s="28" t="n"/>
      <c r="E72" s="28" t="n"/>
      <c r="F72" s="28" t="n"/>
    </row>
    <row r="73">
      <c r="A73" s="24" t="inlineStr">
        <is>
          <t>Peça (20 pç, Pix)</t>
        </is>
      </c>
      <c r="B73" s="35">
        <f>E66</f>
        <v/>
      </c>
    </row>
    <row r="74">
      <c r="A74" s="24" t="inlineStr">
        <is>
          <t>Personalização + etiqueta + tag (R$/pç)</t>
        </is>
      </c>
      <c r="B74" s="36" t="n">
        <v>12</v>
      </c>
      <c r="C74" s="15" t="inlineStr">
        <is>
          <t>Estimativa HMZT — trocar pelo orçamento real</t>
        </is>
      </c>
    </row>
    <row r="75">
      <c r="A75" s="24" t="inlineStr">
        <is>
          <t>Frete rateado + embalagem (R$/pç)</t>
        </is>
      </c>
      <c r="B75" s="36" t="n">
        <v>4</v>
      </c>
      <c r="C75" s="15" t="inlineStr">
        <is>
          <t>Estimativa HMZT — trocar pelo orçamento real</t>
        </is>
      </c>
    </row>
    <row r="76">
      <c r="A76" s="24" t="inlineStr">
        <is>
          <t>Custo unitário estimado</t>
        </is>
      </c>
      <c r="B76" s="37">
        <f>SUM(B73:B75)</f>
        <v/>
      </c>
    </row>
    <row r="77">
      <c r="A77" s="24" t="inlineStr">
        <is>
          <t>Preço de venda HMZT (R$)</t>
        </is>
      </c>
      <c r="B77" s="36" t="n">
        <v>109</v>
      </c>
      <c r="C77" s="15" t="inlineStr">
        <is>
          <t>Sugestão do dossiê — ajustar</t>
        </is>
      </c>
    </row>
    <row r="78">
      <c r="A78" s="24" t="inlineStr">
        <is>
          <t>Impostos + gateway (% do preço)</t>
        </is>
      </c>
      <c r="B78" s="38" t="n">
        <v>0</v>
      </c>
      <c r="C78" s="15" t="inlineStr">
        <is>
          <t>A preencher (Simples + taxa Asaas)</t>
        </is>
      </c>
    </row>
    <row r="79">
      <c r="A79" s="24" t="inlineStr">
        <is>
          <t>Margem bruta (R$)</t>
        </is>
      </c>
      <c r="B79" s="35">
        <f>B77-B76</f>
        <v/>
      </c>
    </row>
    <row r="80">
      <c r="A80" s="24" t="inlineStr">
        <is>
          <t>Margem bruta (%)</t>
        </is>
      </c>
      <c r="B80" s="39">
        <f>IF(B77=0,0,(B77-B76)/B77)</f>
        <v/>
      </c>
    </row>
    <row r="81">
      <c r="A81" s="24" t="inlineStr">
        <is>
          <t>Margem após impostos/gateway (%)</t>
        </is>
      </c>
      <c r="B81" s="39">
        <f>IF(B77=0,0,(B77*(1-B78)-B76)/B77)</f>
        <v/>
      </c>
      <c r="C81" s="15" t="inlineStr">
        <is>
          <t>Ainda sem frete ao cliente e mídia</t>
        </is>
      </c>
    </row>
    <row r="83">
      <c r="A83" s="27" t="inlineStr">
        <is>
          <t>8. Contradições e erros ⚠️</t>
        </is>
      </c>
      <c r="B83" s="28" t="n"/>
      <c r="C83" s="28" t="n"/>
      <c r="D83" s="28" t="n"/>
      <c r="E83" s="28" t="n"/>
      <c r="F83" s="28" t="n"/>
    </row>
    <row r="84">
      <c r="A84" s="8" t="inlineStr">
        <is>
          <t>⚠️ Resumo do topo diz '100% Algodão Penteado 300g/m²'; ficha técnica e FAQ dizem 185 g/m².</t>
        </is>
      </c>
    </row>
    <row r="85">
      <c r="A85" s="8" t="inlineStr">
        <is>
          <t>⚠️ Comparativo cita 'Oversized Suedine 300g — 100% CO penteado, R$ 42,00, 6 cores'; a ficha P01 (Oversized Suedine Peruano 300g) é 52% algodão/48% poliéster, R$ 54,00. O comparativo bate com a P10 (Oversized Básica Suedine 300GSM) — a Lunfe tem duas oversized suedine 300g.</t>
        </is>
      </c>
    </row>
    <row r="86">
      <c r="A86" s="8" t="inlineStr">
        <is>
          <t>⚠️ Comparativo cita 'Estonada Oversized Bolso 175g — 3 cores em estoque, R$ 39,78'; nas páginas relacionadas as estonadas oversized aparecem 'Esse acabou', uma a R$ 39,78 e outra a R$ 90,00.</t>
        </is>
      </c>
    </row>
    <row r="87">
      <c r="A87" s="8" t="inlineStr">
        <is>
          <t>⚠️ Texto: ombro caído 4–8 cm abaixo do ombro; tabela: ombro 50 × 46 cm da regular (M) = só +2 cm por lado.</t>
        </is>
      </c>
    </row>
    <row r="88">
      <c r="A88" s="8" t="inlineStr">
        <is>
          <t>⚠️ Texto: 6× sem juros; print de 29/09: 6× R$ 7,28 com juros.</t>
        </is>
      </c>
    </row>
    <row r="90">
      <c r="A90" s="27" t="inlineStr">
        <is>
          <t>9. Comunicação HMZT</t>
        </is>
      </c>
      <c r="B90" s="28" t="n"/>
      <c r="C90" s="28" t="n"/>
      <c r="D90" s="28" t="n"/>
      <c r="E90" s="28" t="n"/>
      <c r="F90" s="28" t="n"/>
    </row>
    <row r="91">
      <c r="A91" s="24" t="inlineStr">
        <is>
          <t>✅ Pode usar</t>
        </is>
      </c>
      <c r="D91" s="24" t="inlineStr">
        <is>
          <t>📣 / ⛔ Não usar</t>
        </is>
      </c>
    </row>
    <row r="92">
      <c r="A92" s="40" t="inlineStr">
        <is>
          <t>Oversized com ombro caído, corpo amplo e comprimento alongado.</t>
        </is>
      </c>
      <c r="D92" s="8" t="inlineStr">
        <is>
          <t>A oversized mais vendida / maior giro / campeã.</t>
        </is>
      </c>
    </row>
    <row r="93">
      <c r="A93" s="40" t="inlineStr">
        <is>
          <t>100% algodão penteado, 185 g/m² — leve para usar o ano todo.</t>
        </is>
      </c>
      <c r="D93" s="8" t="inlineStr">
        <is>
          <t>Silhueta dominante do streetwear global 2024–2026.</t>
        </is>
      </c>
    </row>
    <row r="94">
      <c r="A94" s="40" t="inlineStr">
        <is>
          <t>Pré-encolhida e anti-torção.</t>
        </is>
      </c>
      <c r="D94" s="8" t="inlineStr">
        <is>
          <t>Preto e branco = 60–70% do volume de oversized.</t>
        </is>
      </c>
    </row>
    <row r="95">
      <c r="A95" s="40" t="inlineStr">
        <is>
          <t>Gola canelada com reforço ombro a ombro, barra dupla.</t>
        </is>
      </c>
      <c r="D95" s="8" t="inlineStr">
        <is>
          <t>Veste bem em qualquer biotipo / menos objeção = mais conversão.</t>
        </is>
      </c>
    </row>
    <row r="96">
      <c r="A96" s="40" t="inlineStr">
        <is>
          <t>Fabricada em Santa Catarina.</t>
        </is>
      </c>
      <c r="D96" s="8" t="inlineStr">
        <is>
          <t>A peça que vende sozinha na arara.</t>
        </is>
      </c>
    </row>
    <row r="97">
      <c r="A97" s="40" t="inlineStr">
        <is>
          <t>Tabela de medidas real no provador (M 76 × 58 cm).</t>
        </is>
      </c>
      <c r="D97" s="8" t="inlineStr">
        <is>
          <t>Nomes de marcas de terceiros (Fear of God, Stüssy, Represent, Acne).</t>
        </is>
      </c>
    </row>
    <row r="98">
      <c r="D98" s="8" t="inlineStr">
        <is>
          <t>Heavyweight / premium / 300 g.</t>
        </is>
      </c>
    </row>
    <row r="100">
      <c r="A100" s="27" t="inlineStr">
        <is>
          <t>10. Pendências com o fornecedor</t>
        </is>
      </c>
      <c r="B100" s="28" t="n"/>
      <c r="C100" s="28" t="n"/>
      <c r="D100" s="28" t="n"/>
      <c r="E100" s="28" t="n"/>
      <c r="F100" s="28" t="n"/>
    </row>
    <row r="101">
      <c r="A101" s="9" t="inlineStr">
        <is>
          <t>Pendência</t>
        </is>
      </c>
      <c r="B101" s="9" t="inlineStr">
        <is>
          <t>Status</t>
        </is>
      </c>
      <c r="C101" s="9" t="inlineStr">
        <is>
          <t>Responsável</t>
        </is>
      </c>
      <c r="D101" s="9" t="inlineStr">
        <is>
          <t>Resposta</t>
        </is>
      </c>
    </row>
    <row r="102">
      <c r="A102" s="10" t="inlineStr">
        <is>
          <t>Corrigir 300 g do resumo (é 185 g)</t>
        </is>
      </c>
      <c r="B102" s="11" t="inlineStr">
        <is>
          <t>Aberta</t>
        </is>
      </c>
      <c r="C102" s="11" t="inlineStr"/>
      <c r="D102" s="11" t="inlineStr"/>
    </row>
    <row r="103">
      <c r="A103" s="10" t="inlineStr">
        <is>
          <t>Composição e preço da 'Oversized Suedine 300g' do comparativo (P10 × P01)</t>
        </is>
      </c>
      <c r="B103" s="11" t="inlineStr">
        <is>
          <t>Aberta</t>
        </is>
      </c>
      <c r="C103" s="11" t="inlineStr"/>
      <c r="D103" s="11" t="inlineStr"/>
    </row>
    <row r="104">
      <c r="A104" s="10" t="inlineStr">
        <is>
          <t>Estoque e preço da Estonada Oversized Bolso 175g</t>
        </is>
      </c>
      <c r="B104" s="11" t="inlineStr">
        <is>
          <t>Aberta</t>
        </is>
      </c>
      <c r="C104" s="11" t="inlineStr"/>
      <c r="D104" s="11" t="inlineStr"/>
    </row>
    <row r="105">
      <c r="A105" s="10" t="inlineStr">
        <is>
          <t>Opacidade do branco com amostra</t>
        </is>
      </c>
      <c r="B105" s="11" t="inlineStr">
        <is>
          <t>Aberta</t>
        </is>
      </c>
      <c r="C105" s="11" t="inlineStr"/>
      <c r="D105" s="11" t="inlineStr"/>
    </row>
    <row r="106">
      <c r="A106" s="10" t="inlineStr">
        <is>
          <t>Orçamento silk/DTF costas + etiqueta + tag</t>
        </is>
      </c>
      <c r="B106" s="11" t="inlineStr">
        <is>
          <t>Aberta</t>
        </is>
      </c>
      <c r="C106" s="11" t="inlineStr"/>
      <c r="D106" s="11" t="inlineStr"/>
    </row>
    <row r="107">
      <c r="A107" s="10" t="inlineStr">
        <is>
          <t>6× com ou sem juros</t>
        </is>
      </c>
      <c r="B107" s="11" t="inlineStr">
        <is>
          <t>Aberta</t>
        </is>
      </c>
      <c r="C107" s="11" t="inlineStr"/>
      <c r="D107" s="11" t="inlineStr"/>
    </row>
    <row r="109">
      <c r="A109" s="27" t="inlineStr">
        <is>
          <t>11. Fluxo de prompts de lookbook (docs/shop-confeccao/prompts/P02-prompts.md)</t>
        </is>
      </c>
      <c r="B109" s="28" t="n"/>
      <c r="C109" s="28" t="n"/>
      <c r="D109" s="28" t="n"/>
      <c r="E109" s="28" t="n"/>
      <c r="F109" s="28" t="n"/>
    </row>
    <row r="110">
      <c r="A110" s="9" t="inlineStr">
        <is>
          <t>Foto</t>
        </is>
      </c>
      <c r="B110" s="9" t="inlineStr">
        <is>
          <t>Origem no print</t>
        </is>
      </c>
      <c r="C110" s="9" t="inlineStr">
        <is>
          <t>Formato</t>
        </is>
      </c>
      <c r="D110" s="9" t="inlineStr">
        <is>
          <t>Status</t>
        </is>
      </c>
    </row>
    <row r="111">
      <c r="A111" s="10" t="inlineStr">
        <is>
          <t>F1 — Frontal olhar baixo</t>
        </is>
      </c>
      <c r="B111" s="10" t="inlineStr">
        <is>
          <t>Origem: fotos #1 e #5 da galeria (preto, frontal, braços soltos, olhar para baixo/para fora à esquerda da câmera)</t>
        </is>
      </c>
      <c r="C111" s="10" t="inlineStr">
        <is>
          <t>4:5</t>
        </is>
      </c>
      <c r="D111" s="11" t="inlineStr">
        <is>
          <t>A gerar</t>
        </is>
      </c>
    </row>
    <row r="112">
      <c r="A112" s="10" t="inlineStr">
        <is>
          <t>F2 — 3/4 braço cruzado</t>
        </is>
      </c>
      <c r="B112" s="10" t="inlineStr">
        <is>
          <t>Origem: foto #2 da galeria (preto, 3/4, antebraço cruzado na cintura)</t>
        </is>
      </c>
      <c r="C112" s="10" t="inlineStr">
        <is>
          <t>4:5</t>
        </is>
      </c>
      <c r="D112" s="11" t="inlineStr">
        <is>
          <t>A gerar</t>
        </is>
      </c>
    </row>
    <row r="113">
      <c r="A113" s="10" t="inlineStr">
        <is>
          <t>F3 — Frontal olhar direto</t>
        </is>
      </c>
      <c r="B113" s="10" t="inlineStr">
        <is>
          <t>Origem: fotos #3 (preto) e #8 (branco) da galeria (frontal, olhar na câmera, queixo levemente erguido)</t>
        </is>
      </c>
      <c r="C113" s="10" t="inlineStr">
        <is>
          <t>4:5</t>
        </is>
      </c>
      <c r="D113" s="11" t="inlineStr">
        <is>
          <t>A gerar</t>
        </is>
      </c>
    </row>
    <row r="114">
      <c r="A114" s="10" t="inlineStr">
        <is>
          <t>F4 — Detalhe gola e ombro caído</t>
        </is>
      </c>
      <c r="B114" s="10" t="inlineStr">
        <is>
          <t>Origem: fotos #4 (preto) e #10 (branco) da galeria (close da boca ao peito)</t>
        </is>
      </c>
      <c r="C114" s="10" t="inlineStr">
        <is>
          <t>4:5</t>
        </is>
      </c>
      <c r="D114" s="11" t="inlineStr">
        <is>
          <t>A gerar</t>
        </is>
      </c>
    </row>
    <row r="115">
      <c r="A115" s="10" t="inlineStr">
        <is>
          <t>F5 — Frontal mãos na barra</t>
        </is>
      </c>
      <c r="B115" s="10" t="inlineStr">
        <is>
          <t>Origem: foto #6 da galeria (branco, frontal, mãos junto à barra, olhar direto)</t>
        </is>
      </c>
      <c r="C115" s="10" t="inlineStr">
        <is>
          <t>4:5</t>
        </is>
      </c>
      <c r="D115" s="11" t="inlineStr">
        <is>
          <t>A gerar</t>
        </is>
      </c>
    </row>
    <row r="116">
      <c r="A116" s="10" t="inlineStr">
        <is>
          <t>F6 — Mãos entrelaçadas</t>
        </is>
      </c>
      <c r="B116" s="10" t="inlineStr">
        <is>
          <t>Origem: foto #7 da galeria (branco, mãos entrelaçadas na cintura, olhar para baixo)</t>
        </is>
      </c>
      <c r="C116" s="10" t="inlineStr">
        <is>
          <t>4:5</t>
        </is>
      </c>
      <c r="D116" s="11" t="inlineStr">
        <is>
          <t>A gerar</t>
        </is>
      </c>
    </row>
    <row r="117">
      <c r="A117" s="10" t="inlineStr">
        <is>
          <t>F7 — 3/4 olhar para fora</t>
        </is>
      </c>
      <c r="B117" s="10" t="inlineStr">
        <is>
          <t>Origem: foto #9 da galeria (branco, 3/4, cabeça virada, olhar fora do quadro)</t>
        </is>
      </c>
      <c r="C117" s="10" t="inlineStr">
        <is>
          <t>4:5</t>
        </is>
      </c>
      <c r="D117" s="11" t="inlineStr">
        <is>
          <t>A gerar</t>
        </is>
      </c>
    </row>
    <row r="118">
      <c r="A118" s="10" t="inlineStr">
        <is>
          <t>F8 — Mockup de personalização (versão HMZT)</t>
        </is>
      </c>
      <c r="B118" s="10" t="inlineStr">
        <is>
          <t>Origem: foto 3 do print de 29/09 (arte promocional do fornecedor com texto sobre peça preta) — não está mais na galeria atual; aqui vira frente lisa para aplicar arte HMZT depois</t>
        </is>
      </c>
      <c r="C118" s="10" t="inlineStr">
        <is>
          <t>4:5</t>
        </is>
      </c>
      <c r="D118" s="11" t="inlineStr">
        <is>
          <t>A gerar</t>
        </is>
      </c>
    </row>
  </sheetData>
  <mergeCells count="40">
    <mergeCell ref="B4:F4"/>
    <mergeCell ref="B7:F7"/>
    <mergeCell ref="A84:F84"/>
    <mergeCell ref="B15:E15"/>
    <mergeCell ref="D97:F97"/>
    <mergeCell ref="B24:E24"/>
    <mergeCell ref="A50:F50"/>
    <mergeCell ref="B20:E20"/>
    <mergeCell ref="A86:F86"/>
    <mergeCell ref="A95:C95"/>
    <mergeCell ref="B26:E26"/>
    <mergeCell ref="A85:F85"/>
    <mergeCell ref="B11:F11"/>
    <mergeCell ref="D93:F93"/>
    <mergeCell ref="B16:E16"/>
    <mergeCell ref="A97:C97"/>
    <mergeCell ref="B25:E25"/>
    <mergeCell ref="D92:F92"/>
    <mergeCell ref="B8:F8"/>
    <mergeCell ref="A96:C96"/>
    <mergeCell ref="B22:E22"/>
    <mergeCell ref="A43:F43"/>
    <mergeCell ref="B18:E18"/>
    <mergeCell ref="D98:F98"/>
    <mergeCell ref="A93:C93"/>
    <mergeCell ref="B10:F10"/>
    <mergeCell ref="D94:F94"/>
    <mergeCell ref="B21:E21"/>
    <mergeCell ref="A92:C92"/>
    <mergeCell ref="B9:F9"/>
    <mergeCell ref="B17:E17"/>
    <mergeCell ref="B23:E23"/>
    <mergeCell ref="B6:F6"/>
    <mergeCell ref="A94:C94"/>
    <mergeCell ref="B5:F5"/>
    <mergeCell ref="A88:F88"/>
    <mergeCell ref="D96:F96"/>
    <mergeCell ref="B19:E19"/>
    <mergeCell ref="A87:F87"/>
    <mergeCell ref="D95:F9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P03 — Camiseta Pima Cotton 165g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HMZT-P03-REG-PIM165</t>
        </is>
      </c>
    </row>
    <row r="5">
      <c r="A5" s="24" t="inlineStr">
        <is>
          <t>Fornecedor</t>
        </is>
      </c>
      <c r="B5" s="2" t="inlineStr">
        <is>
          <t>Lunfe Malhas — fabricação própria, Itajaí-SC</t>
        </is>
      </c>
    </row>
    <row r="6">
      <c r="A6" s="24" t="inlineStr">
        <is>
          <t>Referência</t>
        </is>
      </c>
      <c r="B6" s="2" t="inlineStr">
        <is>
          <t>cms-pimacotton (código interno)</t>
        </is>
      </c>
    </row>
    <row r="7">
      <c r="A7" s="24" t="inlineStr">
        <is>
          <t>URL</t>
        </is>
      </c>
      <c r="B7" s="2" t="inlineStr">
        <is>
          <t>lunfemalhas.com.br/camiseta-pima-cotton-165g-100-algodao-puro-atacado-lunfe</t>
        </is>
      </c>
    </row>
    <row r="8">
      <c r="A8" s="24" t="inlineStr">
        <is>
          <t>Categoria no site</t>
        </is>
      </c>
      <c r="B8" s="2" t="inlineStr">
        <is>
          <t>Camisetas › Masculino › Premium</t>
        </is>
      </c>
    </row>
    <row r="9">
      <c r="A9" s="24" t="inlineStr">
        <is>
          <t>Linha HMZT recomendada</t>
        </is>
      </c>
      <c r="B9" s="2" t="inlineStr">
        <is>
          <t>Premium (principal)</t>
        </is>
      </c>
    </row>
    <row r="10">
      <c r="A10" s="24" t="inlineStr">
        <is>
          <t>Estoque</t>
        </is>
      </c>
      <c r="B10" s="8" t="inlineStr">
        <is>
          <t>8 cores em estoque (página mostra 5 ⚠️)</t>
        </is>
      </c>
    </row>
    <row r="11">
      <c r="A11" s="24" t="inlineStr">
        <is>
          <t>Descritor canônico (IA)</t>
        </is>
      </c>
      <c r="B11" s="2" t="inlineStr">
        <is>
          <t>Camiseta masculina regular fit, manga ajustada até metade do bíceps, gola careca de ribana fina rente, malha leve de algodão sedosa com brilho natural.</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Pima (G. barbadense) — sem elastano, sem poliéster</t>
        </is>
      </c>
      <c r="C15" s="29" t="n"/>
      <c r="D15" s="29" t="n"/>
      <c r="E15" s="30" t="n"/>
    </row>
    <row r="16">
      <c r="A16" s="10" t="inlineStr">
        <is>
          <t>Fibra</t>
        </is>
      </c>
      <c r="B16" s="10" t="inlineStr">
        <is>
          <t>Extra-longa, staple &gt; 35 mm</t>
        </is>
      </c>
      <c r="C16" s="29" t="n"/>
      <c r="D16" s="29" t="n"/>
      <c r="E16" s="30" t="n"/>
    </row>
    <row r="17">
      <c r="A17" s="10" t="inlineStr">
        <is>
          <t>Construção</t>
        </is>
      </c>
      <c r="B17" s="10" t="inlineStr">
        <is>
          <t>"Malha premium" — título do fio não informado</t>
        </is>
      </c>
      <c r="C17" s="29" t="n"/>
      <c r="D17" s="29" t="n"/>
      <c r="E17" s="30" t="n"/>
    </row>
    <row r="18">
      <c r="A18" s="10" t="inlineStr">
        <is>
          <t>Gramatura</t>
        </is>
      </c>
      <c r="B18" s="10" t="inlineStr">
        <is>
          <t>165 g/m²</t>
        </is>
      </c>
      <c r="C18" s="29" t="n"/>
      <c r="D18" s="29" t="n"/>
      <c r="E18" s="30" t="n"/>
    </row>
    <row r="19">
      <c r="A19" s="10" t="inlineStr">
        <is>
          <t>Modelagem</t>
        </is>
      </c>
      <c r="B19" s="10" t="inlineStr">
        <is>
          <t>Regular fit</t>
        </is>
      </c>
      <c r="C19" s="29" t="n"/>
      <c r="D19" s="29" t="n"/>
      <c r="E19" s="30" t="n"/>
    </row>
    <row r="20">
      <c r="A20" s="10" t="inlineStr">
        <is>
          <t>Gola</t>
        </is>
      </c>
      <c r="B20" s="10" t="inlineStr">
        <is>
          <t>Careca, ribana reforçada</t>
        </is>
      </c>
      <c r="C20" s="29" t="n"/>
      <c r="D20" s="29" t="n"/>
      <c r="E20" s="30" t="n"/>
    </row>
    <row r="21">
      <c r="A21" s="10" t="inlineStr">
        <is>
          <t>Mangas</t>
        </is>
      </c>
      <c r="B21" s="10" t="inlineStr">
        <is>
          <t>Curtas, barra dupla</t>
        </is>
      </c>
      <c r="C21" s="29" t="n"/>
      <c r="D21" s="29" t="n"/>
      <c r="E21" s="30" t="n"/>
    </row>
    <row r="22">
      <c r="A22" s="10" t="inlineStr">
        <is>
          <t>Barra</t>
        </is>
      </c>
      <c r="B22" s="10" t="inlineStr">
        <is>
          <t>Dupla, acabamento invisível</t>
        </is>
      </c>
      <c r="C22" s="29" t="n"/>
      <c r="D22" s="29" t="n"/>
      <c r="E22" s="30" t="n"/>
    </row>
    <row r="23">
      <c r="A23" s="10" t="inlineStr">
        <is>
          <t>Costuras</t>
        </is>
      </c>
      <c r="B23" s="10" t="inlineStr">
        <is>
          <t>Reforçadas; ombro a ombro com fita interna</t>
        </is>
      </c>
      <c r="C23" s="29" t="n"/>
      <c r="D23" s="29" t="n"/>
      <c r="E23" s="30" t="n"/>
    </row>
    <row r="24">
      <c r="A24" s="10" t="inlineStr">
        <is>
          <t>Tratamentos</t>
        </is>
      </c>
      <c r="B24" s="10" t="inlineStr">
        <is>
          <t>Pré-encolhimento industrial; fixação de cor de alta solidez</t>
        </is>
      </c>
      <c r="C24" s="29" t="n"/>
      <c r="D24" s="29" t="n"/>
      <c r="E24" s="30" t="n"/>
    </row>
    <row r="25">
      <c r="A25" s="10" t="inlineStr">
        <is>
          <t>Encolhimento</t>
        </is>
      </c>
      <c r="B25" s="10" t="inlineStr">
        <is>
          <t>1–2% nas primeiras lavagens, estabiliza após 2–3 ciclos</t>
        </is>
      </c>
      <c r="C25" s="29" t="n"/>
      <c r="D25" s="29" t="n"/>
      <c r="E25" s="30" t="n"/>
    </row>
    <row r="26">
      <c r="A26" s="10" t="inlineStr">
        <is>
          <t>Cuidados</t>
        </is>
      </c>
      <c r="B26" s="10" t="inlineStr">
        <is>
          <t>Lavar a 30 °C, sem secadora quente, pendurar; ferro baixo</t>
        </is>
      </c>
      <c r="C26" s="29" t="n"/>
      <c r="D26" s="29" t="n"/>
      <c r="E26" s="30" t="n"/>
    </row>
    <row r="27">
      <c r="A27" s="10" t="inlineStr">
        <is>
          <t>Produção</t>
        </is>
      </c>
      <c r="B27" s="10" t="inlineStr">
        <is>
          <t>Própria Lunfe — Itajaí-SC</t>
        </is>
      </c>
      <c r="C27" s="29" t="n"/>
      <c r="D27" s="29" t="n"/>
      <c r="E27" s="30" t="n"/>
    </row>
    <row r="29">
      <c r="A29" s="27" t="inlineStr">
        <is>
          <t>3. Tabela de medidas (cm)</t>
        </is>
      </c>
      <c r="B29" s="28" t="n"/>
      <c r="C29" s="28" t="n"/>
      <c r="D29" s="28" t="n"/>
      <c r="E29" s="28" t="n"/>
      <c r="F29" s="28" t="n"/>
    </row>
    <row r="30">
      <c r="A30" s="9" t="inlineStr">
        <is>
          <t>Tamanho</t>
        </is>
      </c>
      <c r="B30" s="9" t="inlineStr">
        <is>
          <t>Comprimento</t>
        </is>
      </c>
      <c r="C30" s="9" t="inlineStr">
        <is>
          <t>Largura</t>
        </is>
      </c>
      <c r="D30" s="9" t="inlineStr">
        <is>
          <t>Ombros</t>
        </is>
      </c>
      <c r="E30" s="9" t="inlineStr">
        <is>
          <t>Mangas</t>
        </is>
      </c>
    </row>
    <row r="31">
      <c r="A31" s="10" t="inlineStr">
        <is>
          <t>P</t>
        </is>
      </c>
      <c r="B31" s="11" t="n">
        <v>70</v>
      </c>
      <c r="C31" s="11" t="n">
        <v>52</v>
      </c>
      <c r="D31" s="11" t="n">
        <v>44</v>
      </c>
      <c r="E31" s="11" t="n">
        <v>16</v>
      </c>
    </row>
    <row r="32">
      <c r="A32" s="10" t="inlineStr">
        <is>
          <t>M</t>
        </is>
      </c>
      <c r="B32" s="11" t="n">
        <v>72</v>
      </c>
      <c r="C32" s="11" t="n">
        <v>54</v>
      </c>
      <c r="D32" s="11" t="n">
        <v>46</v>
      </c>
      <c r="E32" s="11" t="n">
        <v>18</v>
      </c>
    </row>
    <row r="33">
      <c r="A33" s="10" t="inlineStr">
        <is>
          <t>G</t>
        </is>
      </c>
      <c r="B33" s="11" t="n">
        <v>74</v>
      </c>
      <c r="C33" s="11" t="n">
        <v>56</v>
      </c>
      <c r="D33" s="11" t="n">
        <v>48</v>
      </c>
      <c r="E33" s="11" t="n">
        <v>20</v>
      </c>
    </row>
    <row r="34">
      <c r="A34" s="10" t="inlineStr">
        <is>
          <t>GG</t>
        </is>
      </c>
      <c r="B34" s="11" t="n">
        <v>76</v>
      </c>
      <c r="C34" s="11" t="n">
        <v>58</v>
      </c>
      <c r="D34" s="11" t="n">
        <v>50</v>
      </c>
      <c r="E34" s="11" t="n">
        <v>22</v>
      </c>
    </row>
    <row r="35">
      <c r="A35" s="10" t="inlineStr">
        <is>
          <t>EG</t>
        </is>
      </c>
      <c r="B35" s="11" t="n">
        <v>78</v>
      </c>
      <c r="C35" s="11" t="n">
        <v>60</v>
      </c>
      <c r="D35" s="11" t="n">
        <v>52</v>
      </c>
      <c r="E35" s="11" t="n">
        <v>24</v>
      </c>
    </row>
    <row r="36" ht="30" customHeight="1">
      <c r="A36" s="2" t="inlineStr">
        <is>
          <t>Em cm, em repouso, ± 2 cm. Molde regular padrão.</t>
        </is>
      </c>
    </row>
    <row r="37">
      <c r="A37" s="15" t="inlineStr">
        <is>
          <t>Modelo das fotos: 1,84 m · 84 kg · veste M</t>
        </is>
      </c>
    </row>
    <row r="39">
      <c r="A39" s="27" t="inlineStr">
        <is>
          <t>4. Cores disponíveis</t>
        </is>
      </c>
      <c r="B39" s="28" t="n"/>
      <c r="C39" s="28" t="n"/>
      <c r="D39" s="28" t="n"/>
      <c r="E39" s="28" t="n"/>
      <c r="F39" s="28" t="n"/>
    </row>
    <row r="40">
      <c r="A40" s="9" t="inlineStr">
        <is>
          <t>Cor</t>
        </is>
      </c>
      <c r="B40" s="9" t="inlineStr">
        <is>
          <t>Código HMZT</t>
        </is>
      </c>
      <c r="C40" s="9" t="inlineStr">
        <is>
          <t>Ref. fornecedor</t>
        </is>
      </c>
      <c r="D40" s="9" t="inlineStr">
        <is>
          <t>Observação</t>
        </is>
      </c>
    </row>
    <row r="41">
      <c r="A41" s="10" t="inlineStr">
        <is>
          <t>Preto</t>
        </is>
      </c>
      <c r="B41" s="10" t="inlineStr">
        <is>
          <t>PRT</t>
        </is>
      </c>
      <c r="C41" s="10" t="inlineStr">
        <is>
          <t>PMA-PRT</t>
        </is>
      </c>
      <c r="D41" s="10" t="inlineStr">
        <is>
          <t>Não aparecia no seletor</t>
        </is>
      </c>
    </row>
    <row r="42">
      <c r="A42" s="10" t="inlineStr">
        <is>
          <t>Off White</t>
        </is>
      </c>
      <c r="B42" s="10" t="inlineStr">
        <is>
          <t>OFF</t>
        </is>
      </c>
      <c r="C42" s="10" t="inlineStr">
        <is>
          <t>PMA-OFW</t>
        </is>
      </c>
      <c r="D42" s="10" t="inlineStr">
        <is>
          <t>Não aparecia no seletor</t>
        </is>
      </c>
    </row>
    <row r="43">
      <c r="A43" s="10" t="inlineStr">
        <is>
          <t>Bege</t>
        </is>
      </c>
      <c r="B43" s="10" t="inlineStr">
        <is>
          <t>BGE</t>
        </is>
      </c>
      <c r="C43" s="10" t="inlineStr">
        <is>
          <t>PMA-BGE</t>
        </is>
      </c>
      <c r="D43" s="10" t="inlineStr">
        <is>
          <t>Provável "creme"</t>
        </is>
      </c>
    </row>
    <row r="44">
      <c r="A44" s="10" t="inlineStr">
        <is>
          <t>Capuccino</t>
        </is>
      </c>
      <c r="B44" s="10" t="inlineStr">
        <is>
          <t>CAP</t>
        </is>
      </c>
      <c r="C44" s="10" t="inlineStr">
        <is>
          <t>PMA-CAP</t>
        </is>
      </c>
      <c r="D44" s="10" t="inlineStr">
        <is>
          <t>Exclusiva do Pima; provável "caramelo"</t>
        </is>
      </c>
    </row>
    <row r="45">
      <c r="A45" s="10" t="inlineStr">
        <is>
          <t>Cinza Claro</t>
        </is>
      </c>
      <c r="B45" s="10" t="inlineStr">
        <is>
          <t>CZC</t>
        </is>
      </c>
      <c r="C45" s="10" t="inlineStr">
        <is>
          <t>PMA-CZC</t>
        </is>
      </c>
      <c r="D45" s="10" t="inlineStr"/>
    </row>
    <row r="46">
      <c r="A46" s="10" t="inlineStr">
        <is>
          <t>Marrom</t>
        </is>
      </c>
      <c r="B46" s="10" t="inlineStr">
        <is>
          <t>MRR</t>
        </is>
      </c>
      <c r="C46" s="10" t="inlineStr">
        <is>
          <t>PMA-MRR</t>
        </is>
      </c>
      <c r="D46" s="10" t="inlineStr">
        <is>
          <t>Cor das fotos ("café")</t>
        </is>
      </c>
    </row>
    <row r="47">
      <c r="A47" s="10" t="inlineStr">
        <is>
          <t>Marinho</t>
        </is>
      </c>
      <c r="B47" s="10" t="inlineStr">
        <is>
          <t>MAR</t>
        </is>
      </c>
      <c r="C47" s="10" t="inlineStr">
        <is>
          <t>PMA-MRN</t>
        </is>
      </c>
      <c r="D47" s="10" t="inlineStr"/>
    </row>
    <row r="48">
      <c r="A48" s="10" t="inlineStr">
        <is>
          <t>Verde</t>
        </is>
      </c>
      <c r="B48" s="10" t="inlineStr">
        <is>
          <t>VRD</t>
        </is>
      </c>
      <c r="C48" s="10" t="inlineStr">
        <is>
          <t>PMA-VRD</t>
        </is>
      </c>
      <c r="D48" s="10" t="inlineStr">
        <is>
          <t>Não aparecia no seletor</t>
        </is>
      </c>
    </row>
    <row r="49" ht="30" customHeight="1">
      <c r="A49" s="2" t="inlineStr">
        <is>
          <t>Pantone a partir de 100 pç/cor.</t>
        </is>
      </c>
    </row>
    <row r="51">
      <c r="A51" s="27" t="inlineStr">
        <is>
          <t>5. Personalização (preço sempre sob orçamento)</t>
        </is>
      </c>
      <c r="B51" s="28" t="n"/>
      <c r="C51" s="28" t="n"/>
      <c r="D51" s="28" t="n"/>
      <c r="E51" s="28" t="n"/>
      <c r="F51" s="28" t="n"/>
    </row>
    <row r="52">
      <c r="A52" s="9" t="inlineStr">
        <is>
          <t>Técnica</t>
        </is>
      </c>
      <c r="B52" s="9" t="inlineStr">
        <is>
          <t>Detalhe</t>
        </is>
      </c>
      <c r="C52" s="9" t="inlineStr">
        <is>
          <t>Mínimo</t>
        </is>
      </c>
    </row>
    <row r="53">
      <c r="A53" s="10" t="inlineStr">
        <is>
          <t>Silk base d'água</t>
        </is>
      </c>
      <c r="B53" s="10" t="inlineStr">
        <is>
          <t>Toque zero</t>
        </is>
      </c>
      <c r="C53" s="10" t="inlineStr">
        <is>
          <t>20 pç</t>
        </is>
      </c>
    </row>
    <row r="54">
      <c r="A54" s="10" t="inlineStr">
        <is>
          <t>DTF</t>
        </is>
      </c>
      <c r="B54" s="10" t="inlineStr">
        <is>
          <t>Full color</t>
        </is>
      </c>
      <c r="C54" s="10" t="inlineStr">
        <is>
          <t>20 pç</t>
        </is>
      </c>
    </row>
    <row r="55">
      <c r="A55" s="10" t="inlineStr">
        <is>
          <t>Bordado</t>
        </is>
      </c>
      <c r="B55" s="10" t="inlineStr">
        <is>
          <t>Peito, mangas — o mais indicado</t>
        </is>
      </c>
      <c r="C55" s="10" t="inlineStr">
        <is>
          <t>20 pç</t>
        </is>
      </c>
    </row>
    <row r="56">
      <c r="A56" s="10" t="inlineStr">
        <is>
          <t>Etiqueta private label</t>
        </is>
      </c>
      <c r="B56" s="10" t="inlineStr">
        <is>
          <t>Interna + tag</t>
        </is>
      </c>
      <c r="C56" s="10" t="inlineStr">
        <is>
          <t>20 pç</t>
        </is>
      </c>
    </row>
    <row r="57">
      <c r="A57" s="10" t="inlineStr">
        <is>
          <t>Embalagem customizada</t>
        </is>
      </c>
      <c r="B57" s="10" t="inlineStr">
        <is>
          <t>Saco, caixa premium, tag</t>
        </is>
      </c>
      <c r="C57" s="10" t="inlineStr">
        <is>
          <t>50 pç</t>
        </is>
      </c>
    </row>
    <row r="58">
      <c r="A58" s="10" t="inlineStr">
        <is>
          <t>Cor Pantone</t>
        </is>
      </c>
      <c r="B58" s="10" t="inlineStr"/>
      <c r="C58" s="10" t="inlineStr">
        <is>
          <t>100 pç/cor</t>
        </is>
      </c>
    </row>
    <row r="60">
      <c r="A60" s="27" t="inlineStr">
        <is>
          <t>6. Preços do fornecedor (desconto progressivo)</t>
        </is>
      </c>
      <c r="B60" s="28" t="n"/>
      <c r="C60" s="28" t="n"/>
      <c r="D60" s="28" t="n"/>
      <c r="E60" s="28" t="n"/>
      <c r="F60" s="28" t="n"/>
    </row>
    <row r="61">
      <c r="A61" s="24" t="inlineStr">
        <is>
          <t>Preço base (R$)</t>
        </is>
      </c>
      <c r="B61" s="31" t="n">
        <v>63.45</v>
      </c>
    </row>
    <row r="62">
      <c r="A62" s="17" t="inlineStr">
        <is>
          <t>Faixa</t>
        </is>
      </c>
      <c r="B62" s="17" t="inlineStr">
        <is>
          <t>Peças</t>
        </is>
      </c>
      <c r="C62" s="17" t="inlineStr">
        <is>
          <t>Desconto</t>
        </is>
      </c>
      <c r="D62" s="17" t="inlineStr">
        <is>
          <t>Preço unitário</t>
        </is>
      </c>
      <c r="E62" s="17" t="inlineStr">
        <is>
          <t>Preço + Pix</t>
        </is>
      </c>
    </row>
    <row r="63">
      <c r="A63" s="18" t="inlineStr">
        <is>
          <t>Faixa 1</t>
        </is>
      </c>
      <c r="B63" s="18" t="inlineStr">
        <is>
          <t>20–40</t>
        </is>
      </c>
      <c r="C63" s="32">
        <f>'Regras Fornecedor'!$D$4</f>
        <v/>
      </c>
      <c r="D63" s="33">
        <f>ROUND($B$61*(1-C63),2)</f>
        <v/>
      </c>
      <c r="E63" s="34">
        <f>ROUND(D63*(1-'Regras Fornecedor'!$B$10),2)</f>
        <v/>
      </c>
    </row>
    <row r="64">
      <c r="A64" s="18" t="inlineStr">
        <is>
          <t>Faixa 2</t>
        </is>
      </c>
      <c r="B64" s="18" t="inlineStr">
        <is>
          <t>40–80</t>
        </is>
      </c>
      <c r="C64" s="32">
        <f>'Regras Fornecedor'!$D$5</f>
        <v/>
      </c>
      <c r="D64" s="33">
        <f>ROUND($B$61*(1-C64),2)</f>
        <v/>
      </c>
      <c r="E64" s="34">
        <f>ROUND(D64*(1-'Regras Fornecedor'!$B$10),2)</f>
        <v/>
      </c>
    </row>
    <row r="65">
      <c r="A65" s="18" t="inlineStr">
        <is>
          <t>Faixa 3</t>
        </is>
      </c>
      <c r="B65" s="18" t="inlineStr">
        <is>
          <t>80–100</t>
        </is>
      </c>
      <c r="C65" s="32">
        <f>'Regras Fornecedor'!$D$6</f>
        <v/>
      </c>
      <c r="D65" s="33">
        <f>ROUND($B$61*(1-C65),2)</f>
        <v/>
      </c>
      <c r="E65" s="34">
        <f>ROUND(D65*(1-'Regras Fornecedor'!$B$10),2)</f>
        <v/>
      </c>
    </row>
    <row r="66">
      <c r="A66" s="18" t="inlineStr">
        <is>
          <t>Faixa 4</t>
        </is>
      </c>
      <c r="B66" s="18" t="inlineStr">
        <is>
          <t>100–300</t>
        </is>
      </c>
      <c r="C66" s="32">
        <f>'Regras Fornecedor'!$D$7</f>
        <v/>
      </c>
      <c r="D66" s="33">
        <f>ROUND($B$61*(1-C66),2)</f>
        <v/>
      </c>
      <c r="E66" s="34">
        <f>ROUND(D66*(1-'Regras Fornecedor'!$B$10),2)</f>
        <v/>
      </c>
    </row>
    <row r="67">
      <c r="A67" s="18" t="inlineStr">
        <is>
          <t>Faixa 5</t>
        </is>
      </c>
      <c r="B67" s="18" t="inlineStr">
        <is>
          <t>300–999</t>
        </is>
      </c>
      <c r="C67" s="32">
        <f>'Regras Fornecedor'!$D$8</f>
        <v/>
      </c>
      <c r="D67" s="33">
        <f>ROUND($B$61*(1-C67),2)</f>
        <v/>
      </c>
      <c r="E67" s="34">
        <f>ROUND(D67*(1-'Regras Fornecedor'!$B$10),2)</f>
        <v/>
      </c>
    </row>
    <row r="69">
      <c r="A69" s="27" t="inlineStr">
        <is>
          <t>7. Custo HMZT e margem (lote de 20 peças, Pix)</t>
        </is>
      </c>
      <c r="B69" s="28" t="n"/>
      <c r="C69" s="28" t="n"/>
      <c r="D69" s="28" t="n"/>
      <c r="E69" s="28" t="n"/>
      <c r="F69" s="28" t="n"/>
    </row>
    <row r="70">
      <c r="A70" s="24" t="inlineStr">
        <is>
          <t>Peça (20 pç, Pix)</t>
        </is>
      </c>
      <c r="B70" s="35">
        <f>E63</f>
        <v/>
      </c>
    </row>
    <row r="71">
      <c r="A71" s="24" t="inlineStr">
        <is>
          <t>Personalização + etiqueta + tag (R$/pç)</t>
        </is>
      </c>
      <c r="B71" s="36" t="n">
        <v>12.5</v>
      </c>
      <c r="C71" s="15" t="inlineStr">
        <is>
          <t>Estimativa HMZT — trocar pelo orçamento real</t>
        </is>
      </c>
    </row>
    <row r="72">
      <c r="A72" s="24" t="inlineStr">
        <is>
          <t>Frete rateado + embalagem (R$/pç)</t>
        </is>
      </c>
      <c r="B72" s="36" t="n">
        <v>7.5</v>
      </c>
      <c r="C72" s="15" t="inlineStr">
        <is>
          <t>Estimativa HMZT — trocar pelo orçamento real</t>
        </is>
      </c>
    </row>
    <row r="73">
      <c r="A73" s="24" t="inlineStr">
        <is>
          <t>Custo unitário estimado</t>
        </is>
      </c>
      <c r="B73" s="37">
        <f>SUM(B70:B72)</f>
        <v/>
      </c>
    </row>
    <row r="74">
      <c r="A74" s="24" t="inlineStr">
        <is>
          <t>Preço de venda HMZT (R$)</t>
        </is>
      </c>
      <c r="B74" s="36" t="n">
        <v>189</v>
      </c>
      <c r="C74" s="15" t="inlineStr">
        <is>
          <t>Sugestão do dossiê — ajustar</t>
        </is>
      </c>
    </row>
    <row r="75">
      <c r="A75" s="24" t="inlineStr">
        <is>
          <t>Impostos + gateway (% do preço)</t>
        </is>
      </c>
      <c r="B75" s="38" t="n">
        <v>0</v>
      </c>
      <c r="C75" s="15" t="inlineStr">
        <is>
          <t>A preencher (Simples + taxa Asaas)</t>
        </is>
      </c>
    </row>
    <row r="76">
      <c r="A76" s="24" t="inlineStr">
        <is>
          <t>Margem bruta (R$)</t>
        </is>
      </c>
      <c r="B76" s="35">
        <f>B74-B73</f>
        <v/>
      </c>
    </row>
    <row r="77">
      <c r="A77" s="24" t="inlineStr">
        <is>
          <t>Margem bruta (%)</t>
        </is>
      </c>
      <c r="B77" s="39">
        <f>IF(B74=0,0,(B74-B73)/B74)</f>
        <v/>
      </c>
    </row>
    <row r="78">
      <c r="A78" s="24" t="inlineStr">
        <is>
          <t>Margem após impostos/gateway (%)</t>
        </is>
      </c>
      <c r="B78" s="39">
        <f>IF(B74=0,0,(B74*(1-B75)-B73)/B74)</f>
        <v/>
      </c>
      <c r="C78" s="15" t="inlineStr">
        <is>
          <t>Ainda sem frete ao cliente e mídia</t>
        </is>
      </c>
    </row>
    <row r="80">
      <c r="A80" s="27" t="inlineStr">
        <is>
          <t>8. Contradições e erros ⚠️</t>
        </is>
      </c>
      <c r="B80" s="28" t="n"/>
      <c r="C80" s="28" t="n"/>
      <c r="D80" s="28" t="n"/>
      <c r="E80" s="28" t="n"/>
      <c r="F80" s="28" t="n"/>
    </row>
    <row r="81">
      <c r="A81" s="8" t="inlineStr">
        <is>
          <t>⚠️ "Origem: Pima" — Pima é variedade, não lugar (EUA ou Peru?)</t>
        </is>
      </c>
    </row>
    <row r="82">
      <c r="A82" s="8" t="inlineStr">
        <is>
          <t>⚠️ Texto do P08 cita "Pima 200g, 100% peruano, sob consulta" — não bate</t>
        </is>
      </c>
    </row>
    <row r="83">
      <c r="A83" s="8" t="inlineStr">
        <is>
          <t>⚠️ Ticket varejo: R$ 149–229 (texto P07) × R$ 179–299 (este texto)</t>
        </is>
      </c>
    </row>
    <row r="84">
      <c r="A84" s="8" t="inlineStr">
        <is>
          <t>⚠️ Cores: 5 na página × 8 no texto</t>
        </is>
      </c>
    </row>
    <row r="86">
      <c r="A86" s="27" t="inlineStr">
        <is>
          <t>9. Comunicação HMZT</t>
        </is>
      </c>
      <c r="B86" s="28" t="n"/>
      <c r="C86" s="28" t="n"/>
      <c r="D86" s="28" t="n"/>
      <c r="E86" s="28" t="n"/>
      <c r="F86" s="28" t="n"/>
    </row>
    <row r="87">
      <c r="A87" s="24" t="inlineStr">
        <is>
          <t>✅ Pode usar</t>
        </is>
      </c>
      <c r="D87" s="24" t="inlineStr">
        <is>
          <t>📣 / ⛔ Não usar</t>
        </is>
      </c>
    </row>
    <row r="88">
      <c r="A88" s="40" t="inlineStr">
        <is>
          <t>100% algodão Pima — SÓ com comprovação do fio</t>
        </is>
      </c>
      <c r="D88" s="8" t="inlineStr">
        <is>
          <t>"A fibra mais nobre do planeta"</t>
        </is>
      </c>
    </row>
    <row r="89">
      <c r="A89" s="40" t="inlineStr">
        <is>
          <t>Fibra extra-longa: toque sedoso</t>
        </is>
      </c>
      <c r="D89" s="8" t="inlineStr">
        <is>
          <t>"Percepção de R$ 199–299", "maior margem"</t>
        </is>
      </c>
    </row>
    <row r="90">
      <c r="A90" s="40" t="inlineStr">
        <is>
          <t>Sem elastano, sem poliéster</t>
        </is>
      </c>
      <c r="D90" s="8" t="inlineStr">
        <is>
          <t>"Migração irreversível", LTV 4–6×, recompra</t>
        </is>
      </c>
    </row>
    <row r="91">
      <c r="A91" s="40" t="inlineStr">
        <is>
          <t>Malha leve 165 g/m²</t>
        </is>
      </c>
    </row>
    <row r="92">
      <c r="A92" s="40" t="inlineStr">
        <is>
          <t>Fabricada em Santa Catarina</t>
        </is>
      </c>
    </row>
    <row r="94">
      <c r="A94" s="27" t="inlineStr">
        <is>
          <t>10. Pendências com o fornecedor</t>
        </is>
      </c>
      <c r="B94" s="28" t="n"/>
      <c r="C94" s="28" t="n"/>
      <c r="D94" s="28" t="n"/>
      <c r="E94" s="28" t="n"/>
      <c r="F94" s="28" t="n"/>
    </row>
    <row r="95">
      <c r="A95" s="9" t="inlineStr">
        <is>
          <t>Pendência</t>
        </is>
      </c>
      <c r="B95" s="9" t="inlineStr">
        <is>
          <t>Status</t>
        </is>
      </c>
      <c r="C95" s="9" t="inlineStr">
        <is>
          <t>Responsável</t>
        </is>
      </c>
      <c r="D95" s="9" t="inlineStr">
        <is>
          <t>Resposta</t>
        </is>
      </c>
    </row>
    <row r="96">
      <c r="A96" s="10" t="inlineStr">
        <is>
          <t>Origem/variedade do Pima + documento do fio (Supima?)</t>
        </is>
      </c>
      <c r="B96" s="11" t="inlineStr">
        <is>
          <t>Aberta</t>
        </is>
      </c>
      <c r="C96" s="11" t="inlineStr"/>
      <c r="D96" s="11" t="inlineStr"/>
    </row>
    <row r="97">
      <c r="A97" s="10" t="inlineStr">
        <is>
          <t>Título do fio</t>
        </is>
      </c>
      <c r="B97" s="11" t="inlineStr">
        <is>
          <t>Aberta</t>
        </is>
      </c>
      <c r="C97" s="11" t="inlineStr"/>
      <c r="D97" s="11" t="inlineStr"/>
    </row>
    <row r="98">
      <c r="A98" s="10" t="inlineStr">
        <is>
          <t>Estoque de Preto, Off White e Verde</t>
        </is>
      </c>
      <c r="B98" s="11" t="inlineStr">
        <is>
          <t>Aberta</t>
        </is>
      </c>
      <c r="C98" s="11" t="inlineStr"/>
      <c r="D98" s="11" t="inlineStr"/>
    </row>
    <row r="99">
      <c r="A99" s="10" t="inlineStr">
        <is>
          <t>Existe uma "Pima 200g"?</t>
        </is>
      </c>
      <c r="B99" s="11" t="inlineStr">
        <is>
          <t>Aberta</t>
        </is>
      </c>
      <c r="C99" s="11" t="inlineStr"/>
      <c r="D99" s="11" t="inlineStr"/>
    </row>
    <row r="100">
      <c r="A100" s="10" t="inlineStr">
        <is>
          <t>Orçamento bordado + etiqueta + caixa</t>
        </is>
      </c>
      <c r="B100" s="11" t="inlineStr">
        <is>
          <t>Aberta</t>
        </is>
      </c>
      <c r="C100" s="11" t="inlineStr"/>
      <c r="D100" s="11" t="inlineStr"/>
    </row>
    <row r="102">
      <c r="A102" s="27" t="inlineStr">
        <is>
          <t>11. Fluxo de prompts de lookbook (docs/shop-confeccao/prompts/P03-prompts.md)</t>
        </is>
      </c>
      <c r="B102" s="28" t="n"/>
      <c r="C102" s="28" t="n"/>
      <c r="D102" s="28" t="n"/>
      <c r="E102" s="28" t="n"/>
      <c r="F102" s="28" t="n"/>
    </row>
    <row r="103">
      <c r="A103" s="9" t="inlineStr">
        <is>
          <t>Foto</t>
        </is>
      </c>
      <c r="B103" s="9" t="inlineStr">
        <is>
          <t>Origem no print</t>
        </is>
      </c>
      <c r="C103" s="9" t="inlineStr">
        <is>
          <t>Formato</t>
        </is>
      </c>
      <c r="D103" s="9" t="inlineStr">
        <is>
          <t>Status</t>
        </is>
      </c>
    </row>
    <row r="104">
      <c r="A104" s="10" t="inlineStr">
        <is>
          <t>F1 — Hero mão na gola</t>
        </is>
      </c>
      <c r="B104" s="10" t="inlineStr">
        <is>
          <t>Foto principal e 1ª miniatura</t>
        </is>
      </c>
      <c r="C104" s="10" t="inlineStr">
        <is>
          <t>4:5</t>
        </is>
      </c>
      <c r="D104" s="11" t="inlineStr">
        <is>
          <t>A gerar</t>
        </is>
      </c>
    </row>
    <row r="105">
      <c r="A105" s="10" t="inlineStr">
        <is>
          <t>F2 — Olhar baixo ajustando a manga</t>
        </is>
      </c>
      <c r="B105" s="10" t="inlineStr">
        <is>
          <t>2ª foto e 2ª miniatura</t>
        </is>
      </c>
      <c r="C105" s="10" t="inlineStr">
        <is>
          <t>4:5</t>
        </is>
      </c>
      <c r="D105" s="11" t="inlineStr">
        <is>
          <t>A gerar</t>
        </is>
      </c>
    </row>
    <row r="106">
      <c r="A106" s="10" t="inlineStr">
        <is>
          <t>F3 — Frontal mãos nos bolsos da frente</t>
        </is>
      </c>
      <c r="B106" s="10" t="inlineStr">
        <is>
          <t>3ª foto e 3ª miniatura</t>
        </is>
      </c>
      <c r="C106" s="10" t="inlineStr">
        <is>
          <t>4:5</t>
        </is>
      </c>
      <c r="D106" s="11" t="inlineStr">
        <is>
          <t>A gerar</t>
        </is>
      </c>
    </row>
    <row r="107">
      <c r="A107" s="10" t="inlineStr">
        <is>
          <t>F4 — Variação de cor (mesma pose da F1)</t>
        </is>
      </c>
      <c r="B107" s="10" t="inlineStr">
        <is>
          <t>5ª miniatura — peça em tom terracota/capuccino</t>
        </is>
      </c>
      <c r="C107" s="10" t="inlineStr">
        <is>
          <t>4:5</t>
        </is>
      </c>
      <c r="D107" s="11" t="inlineStr">
        <is>
          <t>A gerar</t>
        </is>
      </c>
    </row>
  </sheetData>
  <mergeCells count="35">
    <mergeCell ref="B4:F4"/>
    <mergeCell ref="A90:C90"/>
    <mergeCell ref="B7:F7"/>
    <mergeCell ref="A84:F84"/>
    <mergeCell ref="A89:C89"/>
    <mergeCell ref="B15:E15"/>
    <mergeCell ref="B24:E24"/>
    <mergeCell ref="B20:E20"/>
    <mergeCell ref="B26:E26"/>
    <mergeCell ref="B11:F11"/>
    <mergeCell ref="B16:E16"/>
    <mergeCell ref="B25:E25"/>
    <mergeCell ref="A91:C91"/>
    <mergeCell ref="B8:F8"/>
    <mergeCell ref="B22:E22"/>
    <mergeCell ref="A81:F81"/>
    <mergeCell ref="B18:E18"/>
    <mergeCell ref="B27:E27"/>
    <mergeCell ref="D89:F89"/>
    <mergeCell ref="B10:F10"/>
    <mergeCell ref="B21:E21"/>
    <mergeCell ref="D88:F88"/>
    <mergeCell ref="A83:F83"/>
    <mergeCell ref="A92:C92"/>
    <mergeCell ref="B9:F9"/>
    <mergeCell ref="B17:E17"/>
    <mergeCell ref="B23:E23"/>
    <mergeCell ref="A49:F49"/>
    <mergeCell ref="A82:F82"/>
    <mergeCell ref="B6:F6"/>
    <mergeCell ref="D90:F90"/>
    <mergeCell ref="A36:F36"/>
    <mergeCell ref="B5:F5"/>
    <mergeCell ref="A88:C88"/>
    <mergeCell ref="B19:E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4"/>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P04 — Camiseta Suedine Peruano 300g Regular Fit</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HMZT-P04-REG-SUE300</t>
        </is>
      </c>
    </row>
    <row r="5">
      <c r="A5" s="24" t="inlineStr">
        <is>
          <t>Fornecedor</t>
        </is>
      </c>
      <c r="B5" s="2" t="inlineStr">
        <is>
          <t>Lunfe Malhas — fabricação própria, Itajaí-SC</t>
        </is>
      </c>
    </row>
    <row r="6">
      <c r="A6" s="24" t="inlineStr">
        <is>
          <t>Referência</t>
        </is>
      </c>
      <c r="B6" s="2" t="inlineStr">
        <is>
          <t>7891865209942 (EAN-13)</t>
        </is>
      </c>
    </row>
    <row r="7">
      <c r="A7" s="24" t="inlineStr">
        <is>
          <t>URL</t>
        </is>
      </c>
      <c r="B7" s="2" t="inlineStr">
        <is>
          <t>lunfemalhas.com.br/camiseta-suedine-peruano-300g-toque-aveludado-atacado-lunfe</t>
        </is>
      </c>
    </row>
    <row r="8">
      <c r="A8" s="24" t="inlineStr">
        <is>
          <t>Categoria no site</t>
        </is>
      </c>
      <c r="B8" s="2" t="inlineStr">
        <is>
          <t>Algodão Importado (breadcrumb) · também em Masculino › Premium</t>
        </is>
      </c>
    </row>
    <row r="9">
      <c r="A9" s="24" t="inlineStr">
        <is>
          <t>Linha HMZT recomendada</t>
        </is>
      </c>
      <c r="B9" s="2" t="inlineStr">
        <is>
          <t>Heavy (principal)</t>
        </is>
      </c>
    </row>
    <row r="10">
      <c r="A10" s="24" t="inlineStr">
        <is>
          <t>Estoque</t>
        </is>
      </c>
      <c r="B10" s="2" t="inlineStr">
        <is>
          <t>5 cores em estoque</t>
        </is>
      </c>
    </row>
    <row r="11">
      <c r="A11" s="24" t="inlineStr">
        <is>
          <t>Descritor canônico (IA)</t>
        </is>
      </c>
      <c r="B11" s="2" t="inlineStr">
        <is>
          <t>Camiseta masculina heavyweight regular fit, manga reta, gola careca canelada, malha encorpada aveludada e fosca tipo camurça, caimento estruturado.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52% algodão / 48% poliéster</t>
        </is>
      </c>
      <c r="C15" s="29" t="n"/>
      <c r="D15" s="29" t="n"/>
      <c r="E15" s="30" t="n"/>
    </row>
    <row r="16">
      <c r="A16" s="10" t="inlineStr">
        <is>
          <t>Acabamento</t>
        </is>
      </c>
      <c r="B16" s="10" t="inlineStr">
        <is>
          <t>Suedine (peach/sanded finish) — escovação com micro-abrasivos; físico, permanente</t>
        </is>
      </c>
      <c r="C16" s="29" t="n"/>
      <c r="D16" s="29" t="n"/>
      <c r="E16" s="30" t="n"/>
    </row>
    <row r="17">
      <c r="A17" s="10" t="inlineStr">
        <is>
          <t>Gramatura</t>
        </is>
      </c>
      <c r="B17" s="10" t="inlineStr">
        <is>
          <t>300 g/m²</t>
        </is>
      </c>
      <c r="C17" s="29" t="n"/>
      <c r="D17" s="29" t="n"/>
      <c r="E17" s="30" t="n"/>
    </row>
    <row r="18">
      <c r="A18" s="10" t="inlineStr">
        <is>
          <t>Modelagem</t>
        </is>
      </c>
      <c r="B18" s="10" t="inlineStr">
        <is>
          <t>Regular fit, caimento estruturado sem elastano</t>
        </is>
      </c>
      <c r="C18" s="29" t="n"/>
      <c r="D18" s="29" t="n"/>
      <c r="E18" s="30" t="n"/>
    </row>
    <row r="19">
      <c r="A19" s="10" t="inlineStr">
        <is>
          <t>Gola</t>
        </is>
      </c>
      <c r="B19" s="10" t="inlineStr">
        <is>
          <t>Careca, ribana reforçada</t>
        </is>
      </c>
      <c r="C19" s="29" t="n"/>
      <c r="D19" s="29" t="n"/>
      <c r="E19" s="30" t="n"/>
    </row>
    <row r="20">
      <c r="A20" s="10" t="inlineStr">
        <is>
          <t>Mangas</t>
        </is>
      </c>
      <c r="B20" s="10" t="inlineStr">
        <is>
          <t>Curtas, barra dupla</t>
        </is>
      </c>
      <c r="C20" s="29" t="n"/>
      <c r="D20" s="29" t="n"/>
      <c r="E20" s="30" t="n"/>
    </row>
    <row r="21">
      <c r="A21" s="10" t="inlineStr">
        <is>
          <t>Barra</t>
        </is>
      </c>
      <c r="B21" s="10" t="inlineStr">
        <is>
          <t>Dupla, acabamento invisível</t>
        </is>
      </c>
      <c r="C21" s="29" t="n"/>
      <c r="D21" s="29" t="n"/>
      <c r="E21" s="30" t="n"/>
    </row>
    <row r="22">
      <c r="A22" s="10" t="inlineStr">
        <is>
          <t>Costuras</t>
        </is>
      </c>
      <c r="B22" s="10" t="inlineStr">
        <is>
          <t>Reforçadas; ombro a ombro com fita interna</t>
        </is>
      </c>
      <c r="C22" s="29" t="n"/>
      <c r="D22" s="29" t="n"/>
      <c r="E22" s="30" t="n"/>
    </row>
    <row r="23">
      <c r="A23" s="10" t="inlineStr">
        <is>
          <t>Tratamentos</t>
        </is>
      </c>
      <c r="B23" s="10" t="inlineStr">
        <is>
          <t>Pré-encolhimento industrial; fixação de cor</t>
        </is>
      </c>
      <c r="C23" s="29" t="n"/>
      <c r="D23" s="29" t="n"/>
      <c r="E23" s="30" t="n"/>
    </row>
    <row r="24">
      <c r="A24" s="10" t="inlineStr">
        <is>
          <t>Opacidade</t>
        </is>
      </c>
      <c r="B24" s="10" t="inlineStr">
        <is>
          <t>Total, inclusive off white</t>
        </is>
      </c>
      <c r="C24" s="29" t="n"/>
      <c r="D24" s="29" t="n"/>
      <c r="E24" s="30" t="n"/>
    </row>
    <row r="25">
      <c r="A25" s="10" t="inlineStr">
        <is>
          <t>Cuidados</t>
        </is>
      </c>
      <c r="B25" s="10" t="inlineStr">
        <is>
          <t>Lavar do avesso a 30 °C, sem secadora quente, não passar ferro direto</t>
        </is>
      </c>
      <c r="C25" s="29" t="n"/>
      <c r="D25" s="29" t="n"/>
      <c r="E25" s="30" t="n"/>
    </row>
    <row r="26">
      <c r="A26" s="10" t="inlineStr">
        <is>
          <t>Uso</t>
        </is>
      </c>
      <c r="B26" s="10" t="inlineStr">
        <is>
          <t>Meia-estação 15–22 °C; mar–out no Sul/Sudeste</t>
        </is>
      </c>
      <c r="C26" s="29" t="n"/>
      <c r="D26" s="29" t="n"/>
      <c r="E26" s="30" t="n"/>
    </row>
    <row r="28">
      <c r="A28" s="27" t="inlineStr">
        <is>
          <t>3. Tabela de medidas (cm)</t>
        </is>
      </c>
      <c r="B28" s="28" t="n"/>
      <c r="C28" s="28" t="n"/>
      <c r="D28" s="28" t="n"/>
      <c r="E28" s="28" t="n"/>
      <c r="F28" s="28" t="n"/>
    </row>
    <row r="29">
      <c r="A29" s="9" t="inlineStr">
        <is>
          <t>Tamanho</t>
        </is>
      </c>
      <c r="B29" s="9" t="inlineStr">
        <is>
          <t>Comprimento</t>
        </is>
      </c>
      <c r="C29" s="9" t="inlineStr">
        <is>
          <t>Largura</t>
        </is>
      </c>
      <c r="D29" s="9" t="inlineStr">
        <is>
          <t>Ombros</t>
        </is>
      </c>
      <c r="E29" s="9" t="inlineStr">
        <is>
          <t>Mangas</t>
        </is>
      </c>
    </row>
    <row r="30">
      <c r="A30" s="10" t="inlineStr">
        <is>
          <t>P</t>
        </is>
      </c>
      <c r="B30" s="11" t="n">
        <v>70</v>
      </c>
      <c r="C30" s="11" t="n">
        <v>52</v>
      </c>
      <c r="D30" s="11" t="n">
        <v>44</v>
      </c>
      <c r="E30" s="11" t="n">
        <v>16</v>
      </c>
    </row>
    <row r="31">
      <c r="A31" s="10" t="inlineStr">
        <is>
          <t>M</t>
        </is>
      </c>
      <c r="B31" s="11" t="n">
        <v>72</v>
      </c>
      <c r="C31" s="11" t="n">
        <v>54</v>
      </c>
      <c r="D31" s="11" t="n">
        <v>46</v>
      </c>
      <c r="E31" s="11" t="n">
        <v>18</v>
      </c>
    </row>
    <row r="32">
      <c r="A32" s="10" t="inlineStr">
        <is>
          <t>G</t>
        </is>
      </c>
      <c r="B32" s="11" t="n">
        <v>74</v>
      </c>
      <c r="C32" s="11" t="n">
        <v>56</v>
      </c>
      <c r="D32" s="11" t="n">
        <v>48</v>
      </c>
      <c r="E32" s="11" t="n">
        <v>20</v>
      </c>
    </row>
    <row r="33">
      <c r="A33" s="10" t="inlineStr">
        <is>
          <t>GG</t>
        </is>
      </c>
      <c r="B33" s="11" t="n">
        <v>76</v>
      </c>
      <c r="C33" s="11" t="n">
        <v>58</v>
      </c>
      <c r="D33" s="11" t="n">
        <v>50</v>
      </c>
      <c r="E33" s="11" t="n">
        <v>22</v>
      </c>
    </row>
    <row r="34">
      <c r="A34" s="10" t="inlineStr">
        <is>
          <t>EG</t>
        </is>
      </c>
      <c r="B34" s="11" t="n">
        <v>78</v>
      </c>
      <c r="C34" s="11" t="n">
        <v>60</v>
      </c>
      <c r="D34" s="11" t="n">
        <v>52</v>
      </c>
      <c r="E34" s="11" t="n">
        <v>24</v>
      </c>
    </row>
    <row r="35" ht="30" customHeight="1">
      <c r="A35" s="2" t="inlineStr">
        <is>
          <t>Em cm, em repouso, ± 2 cm.</t>
        </is>
      </c>
    </row>
    <row r="36">
      <c r="A36" s="15" t="inlineStr">
        <is>
          <t>Modelo das fotos: 1,84 m · 84 kg · veste M</t>
        </is>
      </c>
    </row>
    <row r="38">
      <c r="A38" s="27" t="inlineStr">
        <is>
          <t>4. Cores disponíveis</t>
        </is>
      </c>
      <c r="B38" s="28" t="n"/>
      <c r="C38" s="28" t="n"/>
      <c r="D38" s="28" t="n"/>
      <c r="E38" s="28" t="n"/>
      <c r="F38" s="28" t="n"/>
    </row>
    <row r="39">
      <c r="A39" s="9" t="inlineStr">
        <is>
          <t>Cor</t>
        </is>
      </c>
      <c r="B39" s="9" t="inlineStr">
        <is>
          <t>Código HMZT</t>
        </is>
      </c>
      <c r="C39" s="9" t="inlineStr">
        <is>
          <t>Ref. fornecedor</t>
        </is>
      </c>
      <c r="D39" s="9" t="inlineStr">
        <is>
          <t>Observação</t>
        </is>
      </c>
    </row>
    <row r="40">
      <c r="A40" s="10" t="inlineStr">
        <is>
          <t>Preto</t>
        </is>
      </c>
      <c r="B40" s="10" t="inlineStr">
        <is>
          <t>PRT</t>
        </is>
      </c>
      <c r="C40" s="10" t="inlineStr">
        <is>
          <t>SDP-PRT</t>
        </is>
      </c>
      <c r="D40" s="10" t="inlineStr"/>
    </row>
    <row r="41">
      <c r="A41" s="10" t="inlineStr">
        <is>
          <t>Off White</t>
        </is>
      </c>
      <c r="B41" s="10" t="inlineStr">
        <is>
          <t>OFF</t>
        </is>
      </c>
      <c r="C41" s="10" t="inlineStr">
        <is>
          <t>SDP-OFW</t>
        </is>
      </c>
      <c r="D41" s="10" t="inlineStr">
        <is>
          <t>100% opaco</t>
        </is>
      </c>
    </row>
    <row r="42">
      <c r="A42" s="10" t="inlineStr">
        <is>
          <t>Bege</t>
        </is>
      </c>
      <c r="B42" s="10" t="inlineStr">
        <is>
          <t>BGE</t>
        </is>
      </c>
      <c r="C42" s="10" t="inlineStr">
        <is>
          <t>SDP-BGE</t>
        </is>
      </c>
      <c r="D42" s="10" t="inlineStr">
        <is>
          <t>Provável nude/rosé das fotos</t>
        </is>
      </c>
    </row>
    <row r="43">
      <c r="A43" s="10" t="inlineStr">
        <is>
          <t>Marrom</t>
        </is>
      </c>
      <c r="B43" s="10" t="inlineStr">
        <is>
          <t>MRR</t>
        </is>
      </c>
      <c r="C43" s="10" t="inlineStr">
        <is>
          <t>SDP-MRR</t>
        </is>
      </c>
      <c r="D43" s="10" t="inlineStr">
        <is>
          <t>"A que mais parece camurça"</t>
        </is>
      </c>
    </row>
    <row r="44">
      <c r="A44" s="10" t="inlineStr">
        <is>
          <t>Marinho</t>
        </is>
      </c>
      <c r="B44" s="10" t="inlineStr">
        <is>
          <t>MAR</t>
        </is>
      </c>
      <c r="C44" s="10" t="inlineStr">
        <is>
          <t>SDP-MRN</t>
        </is>
      </c>
      <c r="D44" s="10" t="inlineStr"/>
    </row>
    <row r="45" ht="30" customHeight="1">
      <c r="A45" s="8" t="inlineStr">
        <is>
          <t>⚠️ Página mostrava Areia, Cinza chumbo, Branco, Preto — sem Marrom/Marinho. Confirmar.</t>
        </is>
      </c>
    </row>
    <row r="47">
      <c r="A47" s="27" t="inlineStr">
        <is>
          <t>5. Personalização (preço sempre sob orçamento)</t>
        </is>
      </c>
      <c r="B47" s="28" t="n"/>
      <c r="C47" s="28" t="n"/>
      <c r="D47" s="28" t="n"/>
      <c r="E47" s="28" t="n"/>
      <c r="F47" s="28" t="n"/>
    </row>
    <row r="48">
      <c r="A48" s="9" t="inlineStr">
        <is>
          <t>Técnica</t>
        </is>
      </c>
      <c r="B48" s="9" t="inlineStr">
        <is>
          <t>Detalhe</t>
        </is>
      </c>
      <c r="C48" s="9" t="inlineStr">
        <is>
          <t>Mínimo</t>
        </is>
      </c>
    </row>
    <row r="49">
      <c r="A49" s="10" t="inlineStr">
        <is>
          <t>Silk base d'água</t>
        </is>
      </c>
      <c r="B49" s="10" t="inlineStr">
        <is>
          <t>Frente, costas, mangas — testar aderência</t>
        </is>
      </c>
      <c r="C49" s="10" t="inlineStr">
        <is>
          <t>20 pç</t>
        </is>
      </c>
    </row>
    <row r="50">
      <c r="A50" s="10" t="inlineStr">
        <is>
          <t>DTF</t>
        </is>
      </c>
      <c r="B50" s="10" t="inlineStr">
        <is>
          <t>Testar aderência</t>
        </is>
      </c>
      <c r="C50" s="10" t="inlineStr">
        <is>
          <t>20 pç</t>
        </is>
      </c>
    </row>
    <row r="51">
      <c r="A51" s="10" t="inlineStr">
        <is>
          <t>Bordado</t>
        </is>
      </c>
      <c r="B51" s="10" t="inlineStr">
        <is>
          <t>Peito, mangas, costas — melhor resultado</t>
        </is>
      </c>
      <c r="C51" s="10" t="inlineStr">
        <is>
          <t>20 pç</t>
        </is>
      </c>
    </row>
    <row r="52">
      <c r="A52" s="10" t="inlineStr">
        <is>
          <t>Etiqueta private label</t>
        </is>
      </c>
      <c r="B52" s="10" t="inlineStr">
        <is>
          <t>Interna + tag</t>
        </is>
      </c>
      <c r="C52" s="10" t="inlineStr">
        <is>
          <t>20 pç</t>
        </is>
      </c>
    </row>
    <row r="53">
      <c r="A53" s="10" t="inlineStr">
        <is>
          <t>Embalagem customizada</t>
        </is>
      </c>
      <c r="B53" s="10" t="inlineStr">
        <is>
          <t>Saco, caixa premium, tag</t>
        </is>
      </c>
      <c r="C53" s="10" t="inlineStr">
        <is>
          <t>50 pç</t>
        </is>
      </c>
    </row>
    <row r="54">
      <c r="A54" s="10" t="inlineStr">
        <is>
          <t>Cor Pantone</t>
        </is>
      </c>
      <c r="B54" s="10" t="inlineStr"/>
      <c r="C54" s="10" t="inlineStr">
        <is>
          <t>100 pç/cor</t>
        </is>
      </c>
    </row>
    <row r="56">
      <c r="A56" s="27" t="inlineStr">
        <is>
          <t>6. Preços do fornecedor (desconto progressivo)</t>
        </is>
      </c>
      <c r="B56" s="28" t="n"/>
      <c r="C56" s="28" t="n"/>
      <c r="D56" s="28" t="n"/>
      <c r="E56" s="28" t="n"/>
      <c r="F56" s="28" t="n"/>
    </row>
    <row r="57">
      <c r="A57" s="24" t="inlineStr">
        <is>
          <t>Preço base (R$)</t>
        </is>
      </c>
      <c r="B57" s="31" t="n">
        <v>52</v>
      </c>
    </row>
    <row r="58">
      <c r="A58" s="17" t="inlineStr">
        <is>
          <t>Faixa</t>
        </is>
      </c>
      <c r="B58" s="17" t="inlineStr">
        <is>
          <t>Peças</t>
        </is>
      </c>
      <c r="C58" s="17" t="inlineStr">
        <is>
          <t>Desconto</t>
        </is>
      </c>
      <c r="D58" s="17" t="inlineStr">
        <is>
          <t>Preço unitário</t>
        </is>
      </c>
      <c r="E58" s="17" t="inlineStr">
        <is>
          <t>Preço + Pix</t>
        </is>
      </c>
    </row>
    <row r="59">
      <c r="A59" s="18" t="inlineStr">
        <is>
          <t>Faixa 1</t>
        </is>
      </c>
      <c r="B59" s="18" t="inlineStr">
        <is>
          <t>20–40</t>
        </is>
      </c>
      <c r="C59" s="32">
        <f>'Regras Fornecedor'!$D$4</f>
        <v/>
      </c>
      <c r="D59" s="33">
        <f>ROUND($B$57*(1-C59),2)</f>
        <v/>
      </c>
      <c r="E59" s="34">
        <f>ROUND(D59*(1-'Regras Fornecedor'!$B$10),2)</f>
        <v/>
      </c>
    </row>
    <row r="60">
      <c r="A60" s="18" t="inlineStr">
        <is>
          <t>Faixa 2</t>
        </is>
      </c>
      <c r="B60" s="18" t="inlineStr">
        <is>
          <t>40–80</t>
        </is>
      </c>
      <c r="C60" s="32">
        <f>'Regras Fornecedor'!$D$5</f>
        <v/>
      </c>
      <c r="D60" s="33">
        <f>ROUND($B$57*(1-C60),2)</f>
        <v/>
      </c>
      <c r="E60" s="34">
        <f>ROUND(D60*(1-'Regras Fornecedor'!$B$10),2)</f>
        <v/>
      </c>
    </row>
    <row r="61">
      <c r="A61" s="18" t="inlineStr">
        <is>
          <t>Faixa 3</t>
        </is>
      </c>
      <c r="B61" s="18" t="inlineStr">
        <is>
          <t>80–100</t>
        </is>
      </c>
      <c r="C61" s="32">
        <f>'Regras Fornecedor'!$D$6</f>
        <v/>
      </c>
      <c r="D61" s="33">
        <f>ROUND($B$57*(1-C61),2)</f>
        <v/>
      </c>
      <c r="E61" s="34">
        <f>ROUND(D61*(1-'Regras Fornecedor'!$B$10),2)</f>
        <v/>
      </c>
    </row>
    <row r="62">
      <c r="A62" s="18" t="inlineStr">
        <is>
          <t>Faixa 4</t>
        </is>
      </c>
      <c r="B62" s="18" t="inlineStr">
        <is>
          <t>100–300</t>
        </is>
      </c>
      <c r="C62" s="32">
        <f>'Regras Fornecedor'!$D$7</f>
        <v/>
      </c>
      <c r="D62" s="33">
        <f>ROUND($B$57*(1-C62),2)</f>
        <v/>
      </c>
      <c r="E62" s="34">
        <f>ROUND(D62*(1-'Regras Fornecedor'!$B$10),2)</f>
        <v/>
      </c>
    </row>
    <row r="63">
      <c r="A63" s="18" t="inlineStr">
        <is>
          <t>Faixa 5</t>
        </is>
      </c>
      <c r="B63" s="18" t="inlineStr">
        <is>
          <t>300–999</t>
        </is>
      </c>
      <c r="C63" s="32">
        <f>'Regras Fornecedor'!$D$8</f>
        <v/>
      </c>
      <c r="D63" s="33">
        <f>ROUND($B$57*(1-C63),2)</f>
        <v/>
      </c>
      <c r="E63" s="34">
        <f>ROUND(D63*(1-'Regras Fornecedor'!$B$10),2)</f>
        <v/>
      </c>
    </row>
    <row r="65">
      <c r="A65" s="27" t="inlineStr">
        <is>
          <t>7. Custo HMZT e margem (lote de 20 peças, Pix)</t>
        </is>
      </c>
      <c r="B65" s="28" t="n"/>
      <c r="C65" s="28" t="n"/>
      <c r="D65" s="28" t="n"/>
      <c r="E65" s="28" t="n"/>
      <c r="F65" s="28" t="n"/>
    </row>
    <row r="66">
      <c r="A66" s="24" t="inlineStr">
        <is>
          <t>Peça (20 pç, Pix)</t>
        </is>
      </c>
      <c r="B66" s="35">
        <f>E59</f>
        <v/>
      </c>
    </row>
    <row r="67">
      <c r="A67" s="24" t="inlineStr">
        <is>
          <t>Personalização + etiqueta + tag (R$/pç)</t>
        </is>
      </c>
      <c r="B67" s="36" t="n">
        <v>12.5</v>
      </c>
      <c r="C67" s="15" t="inlineStr">
        <is>
          <t>Estimativa HMZT — trocar pelo orçamento real</t>
        </is>
      </c>
    </row>
    <row r="68">
      <c r="A68" s="24" t="inlineStr">
        <is>
          <t>Frete rateado + embalagem (R$/pç)</t>
        </is>
      </c>
      <c r="B68" s="36" t="n">
        <v>6</v>
      </c>
      <c r="C68" s="15" t="inlineStr">
        <is>
          <t>Estimativa HMZT — trocar pelo orçamento real</t>
        </is>
      </c>
    </row>
    <row r="69">
      <c r="A69" s="24" t="inlineStr">
        <is>
          <t>Custo unitário estimado</t>
        </is>
      </c>
      <c r="B69" s="37">
        <f>SUM(B66:B68)</f>
        <v/>
      </c>
    </row>
    <row r="70">
      <c r="A70" s="24" t="inlineStr">
        <is>
          <t>Preço de venda HMZT (R$)</t>
        </is>
      </c>
      <c r="B70" s="36" t="n">
        <v>159</v>
      </c>
      <c r="C70" s="15" t="inlineStr">
        <is>
          <t>Sugestão do dossiê — ajustar</t>
        </is>
      </c>
    </row>
    <row r="71">
      <c r="A71" s="24" t="inlineStr">
        <is>
          <t>Impostos + gateway (% do preço)</t>
        </is>
      </c>
      <c r="B71" s="38" t="n">
        <v>0</v>
      </c>
      <c r="C71" s="15" t="inlineStr">
        <is>
          <t>A preencher (Simples + taxa Asaas)</t>
        </is>
      </c>
    </row>
    <row r="72">
      <c r="A72" s="24" t="inlineStr">
        <is>
          <t>Margem bruta (R$)</t>
        </is>
      </c>
      <c r="B72" s="35">
        <f>B70-B69</f>
        <v/>
      </c>
    </row>
    <row r="73">
      <c r="A73" s="24" t="inlineStr">
        <is>
          <t>Margem bruta (%)</t>
        </is>
      </c>
      <c r="B73" s="39">
        <f>IF(B70=0,0,(B70-B69)/B70)</f>
        <v/>
      </c>
    </row>
    <row r="74">
      <c r="A74" s="24" t="inlineStr">
        <is>
          <t>Margem após impostos/gateway (%)</t>
        </is>
      </c>
      <c r="B74" s="39">
        <f>IF(B70=0,0,(B70*(1-B71)-B69)/B70)</f>
        <v/>
      </c>
      <c r="C74" s="15" t="inlineStr">
        <is>
          <t>Ainda sem frete ao cliente e mídia</t>
        </is>
      </c>
    </row>
    <row r="76">
      <c r="A76" s="27" t="inlineStr">
        <is>
          <t>8. Contradições e erros ⚠️</t>
        </is>
      </c>
      <c r="B76" s="28" t="n"/>
      <c r="C76" s="28" t="n"/>
      <c r="D76" s="28" t="n"/>
      <c r="E76" s="28" t="n"/>
      <c r="F76" s="28" t="n"/>
    </row>
    <row r="77">
      <c r="A77" s="8" t="inlineStr">
        <is>
          <t>⚠️ "Peruano" no nome — é 52/48 com poliéster, não é algodão peruano</t>
        </is>
      </c>
    </row>
    <row r="78">
      <c r="A78" s="8" t="inlineStr">
        <is>
          <t>⚠️ Cores página × texto</t>
        </is>
      </c>
    </row>
    <row r="79">
      <c r="A79" s="8" t="inlineStr">
        <is>
          <t>⚠️ "A partir de" na página × preço fixo no texto</t>
        </is>
      </c>
    </row>
    <row r="80">
      <c r="A80" s="8" t="inlineStr">
        <is>
          <t>⚠️ Texturizadas 240g: 52/48 aqui × 51% poliéster/49% algodão no texto do P05</t>
        </is>
      </c>
    </row>
    <row r="81">
      <c r="A81" s="8" t="inlineStr">
        <is>
          <t>⚠️ Ticket Chinese HW: R$ 79–129 aqui × drops de R$ 150–250 no texto do P05</t>
        </is>
      </c>
    </row>
    <row r="83">
      <c r="A83" s="27" t="inlineStr">
        <is>
          <t>9. Comunicação HMZT</t>
        </is>
      </c>
      <c r="B83" s="28" t="n"/>
      <c r="C83" s="28" t="n"/>
      <c r="D83" s="28" t="n"/>
      <c r="E83" s="28" t="n"/>
      <c r="F83" s="28" t="n"/>
    </row>
    <row r="84">
      <c r="A84" s="24" t="inlineStr">
        <is>
          <t>✅ Pode usar</t>
        </is>
      </c>
      <c r="D84" s="24" t="inlineStr">
        <is>
          <t>📣 / ⛔ Não usar</t>
        </is>
      </c>
    </row>
    <row r="85">
      <c r="A85" s="40" t="inlineStr">
        <is>
          <t>Toque aveludado tipo camurça, permanente</t>
        </is>
      </c>
      <c r="D85" s="8" t="inlineStr">
        <is>
          <t>"Algodão peruano" (NUNCA)</t>
        </is>
      </c>
    </row>
    <row r="86">
      <c r="A86" s="40" t="inlineStr">
        <is>
          <t>Heavyweight 300 g/m², 100% opaca</t>
        </is>
      </c>
      <c r="D86" s="8" t="inlineStr">
        <is>
          <t>"Maior conversão por toque", "ciclo de 5 passos"</t>
        </is>
      </c>
    </row>
    <row r="87">
      <c r="A87" s="40" t="inlineStr">
        <is>
          <t>Caimento estruturado</t>
        </is>
      </c>
      <c r="D87" s="8" t="inlineStr">
        <is>
          <t>"ROI de R$ 6–10 por R$ 1"</t>
        </is>
      </c>
    </row>
    <row r="88">
      <c r="A88" s="40" t="inlineStr">
        <is>
          <t>Disponível em regular e oversized</t>
        </is>
      </c>
      <c r="D88" s="8" t="inlineStr">
        <is>
          <t>"Exclusiva no atacado brasileiro"</t>
        </is>
      </c>
    </row>
    <row r="89">
      <c r="A89" s="40" t="inlineStr">
        <is>
          <t>Composição por extenso: 52% algodão, 48% poliéster</t>
        </is>
      </c>
    </row>
    <row r="91">
      <c r="A91" s="27" t="inlineStr">
        <is>
          <t>10. Pendências com o fornecedor</t>
        </is>
      </c>
      <c r="B91" s="28" t="n"/>
      <c r="C91" s="28" t="n"/>
      <c r="D91" s="28" t="n"/>
      <c r="E91" s="28" t="n"/>
      <c r="F91" s="28" t="n"/>
    </row>
    <row r="92">
      <c r="A92" s="9" t="inlineStr">
        <is>
          <t>Pendência</t>
        </is>
      </c>
      <c r="B92" s="9" t="inlineStr">
        <is>
          <t>Status</t>
        </is>
      </c>
      <c r="C92" s="9" t="inlineStr">
        <is>
          <t>Responsável</t>
        </is>
      </c>
      <c r="D92" s="9" t="inlineStr">
        <is>
          <t>Resposta</t>
        </is>
      </c>
    </row>
    <row r="93">
      <c r="A93" s="10" t="inlineStr">
        <is>
          <t>Cartela real (cinza chumbo existe?)</t>
        </is>
      </c>
      <c r="B93" s="11" t="inlineStr">
        <is>
          <t>Aberta</t>
        </is>
      </c>
      <c r="C93" s="11" t="inlineStr"/>
      <c r="D93" s="11" t="inlineStr"/>
    </row>
    <row r="94">
      <c r="A94" s="10" t="inlineStr">
        <is>
          <t>Significado de "Peruano" no nome</t>
        </is>
      </c>
      <c r="B94" s="11" t="inlineStr">
        <is>
          <t>Aberta</t>
        </is>
      </c>
      <c r="C94" s="11" t="inlineStr"/>
      <c r="D94" s="11" t="inlineStr"/>
    </row>
    <row r="95">
      <c r="A95" s="10" t="inlineStr">
        <is>
          <t>Peça-teste silk/DTF</t>
        </is>
      </c>
      <c r="B95" s="11" t="inlineStr">
        <is>
          <t>Aberta</t>
        </is>
      </c>
      <c r="C95" s="11" t="inlineStr"/>
      <c r="D95" s="11" t="inlineStr"/>
    </row>
    <row r="96">
      <c r="A96" s="10" t="inlineStr">
        <is>
          <t>Orçamento bordado + etiqueta + caixa</t>
        </is>
      </c>
      <c r="B96" s="11" t="inlineStr">
        <is>
          <t>Aberta</t>
        </is>
      </c>
      <c r="C96" s="11" t="inlineStr"/>
      <c r="D96" s="11" t="inlineStr"/>
    </row>
    <row r="98">
      <c r="A98" s="27" t="inlineStr">
        <is>
          <t>11. Fluxo de prompts de lookbook (docs/shop-confeccao/prompts/P04-prompts.md)</t>
        </is>
      </c>
      <c r="B98" s="28" t="n"/>
      <c r="C98" s="28" t="n"/>
      <c r="D98" s="28" t="n"/>
      <c r="E98" s="28" t="n"/>
      <c r="F98" s="28" t="n"/>
    </row>
    <row r="99">
      <c r="A99" s="9" t="inlineStr">
        <is>
          <t>Foto</t>
        </is>
      </c>
      <c r="B99" s="9" t="inlineStr">
        <is>
          <t>Origem no print</t>
        </is>
      </c>
      <c r="C99" s="9" t="inlineStr">
        <is>
          <t>Formato</t>
        </is>
      </c>
      <c r="D99" s="9" t="inlineStr">
        <is>
          <t>Status</t>
        </is>
      </c>
    </row>
    <row r="100">
      <c r="A100" s="10" t="inlineStr">
        <is>
          <t>F1 — Frontal braços soltos</t>
        </is>
      </c>
      <c r="B100" s="10" t="inlineStr">
        <is>
          <t>Foto principal e 1ª miniatura</t>
        </is>
      </c>
      <c r="C100" s="10" t="inlineStr">
        <is>
          <t>4:5</t>
        </is>
      </c>
      <c r="D100" s="11" t="inlineStr">
        <is>
          <t>A gerar</t>
        </is>
      </c>
    </row>
    <row r="101">
      <c r="A101" s="10" t="inlineStr">
        <is>
          <t>F2 — Detalhe gola e punho</t>
        </is>
      </c>
      <c r="B101" s="10" t="inlineStr">
        <is>
          <t>2ª foto e 2ª miniatura</t>
        </is>
      </c>
      <c r="C101" s="10" t="inlineStr">
        <is>
          <t>4:5</t>
        </is>
      </c>
      <c r="D101" s="11" t="inlineStr">
        <is>
          <t>A gerar</t>
        </is>
      </c>
    </row>
    <row r="102">
      <c r="A102" s="10" t="inlineStr">
        <is>
          <t>F3 — Frontal plano aberto</t>
        </is>
      </c>
      <c r="B102" s="10" t="inlineStr">
        <is>
          <t>3ª miniatura</t>
        </is>
      </c>
      <c r="C102" s="10" t="inlineStr">
        <is>
          <t>4:5</t>
        </is>
      </c>
      <c r="D102" s="11" t="inlineStr">
        <is>
          <t>A gerar</t>
        </is>
      </c>
    </row>
    <row r="103">
      <c r="A103" s="10" t="inlineStr">
        <is>
          <t>F4 — 3/4 tocando a barra</t>
        </is>
      </c>
      <c r="B103" s="10" t="inlineStr">
        <is>
          <t>3ª foto e 4ª miniatura</t>
        </is>
      </c>
      <c r="C103" s="10" t="inlineStr">
        <is>
          <t>4:5</t>
        </is>
      </c>
      <c r="D103" s="11" t="inlineStr">
        <is>
          <t>A gerar</t>
        </is>
      </c>
    </row>
    <row r="104">
      <c r="A104" s="10" t="inlineStr">
        <is>
          <t>F5 — Lateral</t>
        </is>
      </c>
      <c r="B104" s="10" t="inlineStr">
        <is>
          <t>5ª miniatura (baixa resolução — leitura aproximada)</t>
        </is>
      </c>
      <c r="C104" s="10" t="inlineStr">
        <is>
          <t>4:5</t>
        </is>
      </c>
      <c r="D104" s="11" t="inlineStr">
        <is>
          <t>A gerar</t>
        </is>
      </c>
    </row>
  </sheetData>
  <mergeCells count="36">
    <mergeCell ref="B4:F4"/>
    <mergeCell ref="B7:F7"/>
    <mergeCell ref="A80:F80"/>
    <mergeCell ref="A89:C89"/>
    <mergeCell ref="B15:E15"/>
    <mergeCell ref="B24:E24"/>
    <mergeCell ref="B20:E20"/>
    <mergeCell ref="A86:C86"/>
    <mergeCell ref="D87:F87"/>
    <mergeCell ref="B26:E26"/>
    <mergeCell ref="A85:C85"/>
    <mergeCell ref="A87:C87"/>
    <mergeCell ref="B11:F11"/>
    <mergeCell ref="B16:E16"/>
    <mergeCell ref="B25:E25"/>
    <mergeCell ref="A35:F35"/>
    <mergeCell ref="B8:F8"/>
    <mergeCell ref="B22:E22"/>
    <mergeCell ref="A81:F81"/>
    <mergeCell ref="B18:E18"/>
    <mergeCell ref="B10:F10"/>
    <mergeCell ref="D85:F85"/>
    <mergeCell ref="B21:E21"/>
    <mergeCell ref="D88:F88"/>
    <mergeCell ref="A77:F77"/>
    <mergeCell ref="B9:F9"/>
    <mergeCell ref="B17:E17"/>
    <mergeCell ref="B23:E23"/>
    <mergeCell ref="B6:F6"/>
    <mergeCell ref="A45:F45"/>
    <mergeCell ref="B5:F5"/>
    <mergeCell ref="A79:F79"/>
    <mergeCell ref="A88:C88"/>
    <mergeCell ref="B19:E19"/>
    <mergeCell ref="A78:F78"/>
    <mergeCell ref="D86:F8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P05 — Camiseta Chinese Heavyweight 300g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HMZT-P05-REG-XJG300 / -OVS-</t>
        </is>
      </c>
    </row>
    <row r="5">
      <c r="A5" s="24" t="inlineStr">
        <is>
          <t>Fornecedor</t>
        </is>
      </c>
      <c r="B5" s="2" t="inlineStr">
        <is>
          <t>Lunfe Malhas — fabricação própria, Itajaí-SC</t>
        </is>
      </c>
    </row>
    <row r="6">
      <c r="A6" s="24" t="inlineStr">
        <is>
          <t>Referência</t>
        </is>
      </c>
      <c r="B6" s="8" t="inlineStr">
        <is>
          <t>790836512100 (12 dígitos ⚠️)</t>
        </is>
      </c>
    </row>
    <row r="7">
      <c r="A7" s="24" t="inlineStr">
        <is>
          <t>URL</t>
        </is>
      </c>
      <c r="B7" s="2" t="inlineStr">
        <is>
          <t>lunfemalhas.com.br/camiseta-chinese-heavyweight-atacado-300g-algodao-importado-lunfe</t>
        </is>
      </c>
    </row>
    <row r="8">
      <c r="A8" s="24" t="inlineStr">
        <is>
          <t>Categoria no site</t>
        </is>
      </c>
      <c r="B8" s="2" t="inlineStr">
        <is>
          <t>Camisetas › Masculino › Premium</t>
        </is>
      </c>
    </row>
    <row r="9">
      <c r="A9" s="24" t="inlineStr">
        <is>
          <t>Linha HMZT recomendada</t>
        </is>
      </c>
      <c r="B9" s="8" t="inlineStr">
        <is>
          <t>Heavy (alternativa ⚠️ Xinjiang)</t>
        </is>
      </c>
    </row>
    <row r="10">
      <c r="A10" s="24" t="inlineStr">
        <is>
          <t>Estoque</t>
        </is>
      </c>
      <c r="B10" s="2" t="inlineStr">
        <is>
          <t>4 cores em pronta entrega permanente</t>
        </is>
      </c>
    </row>
    <row r="11">
      <c r="A11" s="24" t="inlineStr">
        <is>
          <t>Descritor canônico (IA)</t>
        </is>
      </c>
      <c r="B11" s="2" t="inlineStr">
        <is>
          <t>Camiseta masculina heavyweight regular, gola careca estruturada, malha de algodão grossa e encorpada com leve brilho acetinado, caimento reto.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importado — origem Xinjiang, China ⚠️</t>
        </is>
      </c>
      <c r="C15" s="29" t="n"/>
      <c r="D15" s="29" t="n"/>
      <c r="E15" s="30" t="n"/>
    </row>
    <row r="16">
      <c r="A16" s="10" t="inlineStr">
        <is>
          <t>Fibra</t>
        </is>
      </c>
      <c r="B16" s="10" t="inlineStr">
        <is>
          <t>Longa, staple 28–30 mm</t>
        </is>
      </c>
      <c r="C16" s="29" t="n"/>
      <c r="D16" s="29" t="n"/>
      <c r="E16" s="30" t="n"/>
    </row>
    <row r="17">
      <c r="A17" s="10" t="inlineStr">
        <is>
          <t>Fio</t>
        </is>
      </c>
      <c r="B17" s="10" t="inlineStr">
        <is>
          <t>28/1 × 2 cabos (retorcido duplo; equivale a ~14/1)</t>
        </is>
      </c>
      <c r="C17" s="29" t="n"/>
      <c r="D17" s="29" t="n"/>
      <c r="E17" s="30" t="n"/>
    </row>
    <row r="18">
      <c r="A18" s="10" t="inlineStr">
        <is>
          <t>Gramatura</t>
        </is>
      </c>
      <c r="B18" s="10" t="inlineStr">
        <is>
          <t>300 g/m² ± 5% ("ultra-heavyweight")</t>
        </is>
      </c>
      <c r="C18" s="29" t="n"/>
      <c r="D18" s="29" t="n"/>
      <c r="E18" s="30" t="n"/>
    </row>
    <row r="19">
      <c r="A19" s="10" t="inlineStr">
        <is>
          <t>Rolo / rendimento</t>
        </is>
      </c>
      <c r="B19" s="10" t="inlineStr">
        <is>
          <t>1,80 m tubular aberta · 3,0–3,5 camisetas/m (M)</t>
        </is>
      </c>
      <c r="C19" s="29" t="n"/>
      <c r="D19" s="29" t="n"/>
      <c r="E19" s="30" t="n"/>
    </row>
    <row r="20">
      <c r="A20" s="10" t="inlineStr">
        <is>
          <t>Modelagens</t>
        </is>
      </c>
      <c r="B20" s="10" t="inlineStr">
        <is>
          <t>Regular (P–GG) + Oversized (P–G1) — mesma malha</t>
        </is>
      </c>
      <c r="C20" s="29" t="n"/>
      <c r="D20" s="29" t="n"/>
      <c r="E20" s="30" t="n"/>
    </row>
    <row r="21">
      <c r="A21" s="10" t="inlineStr">
        <is>
          <t>Gola</t>
        </is>
      </c>
      <c r="B21" s="10" t="inlineStr">
        <is>
          <t>Canelada 2/1 estruturada, fecho em anel</t>
        </is>
      </c>
      <c r="C21" s="29" t="n"/>
      <c r="D21" s="29" t="n"/>
      <c r="E21" s="30" t="n"/>
    </row>
    <row r="22">
      <c r="A22" s="10" t="inlineStr">
        <is>
          <t>Ombros</t>
        </is>
      </c>
      <c r="B22" s="10" t="inlineStr">
        <is>
          <t>Reforço ombro a ombro com faixa larga</t>
        </is>
      </c>
      <c r="C22" s="29" t="n"/>
      <c r="D22" s="29" t="n"/>
      <c r="E22" s="30" t="n"/>
    </row>
    <row r="23">
      <c r="A23" s="10" t="inlineStr">
        <is>
          <t>Costuras</t>
        </is>
      </c>
      <c r="B23" s="10" t="inlineStr">
        <is>
          <t>Ponto cadeia</t>
        </is>
      </c>
      <c r="C23" s="29" t="n"/>
      <c r="D23" s="29" t="n"/>
      <c r="E23" s="30" t="n"/>
    </row>
    <row r="24">
      <c r="A24" s="10" t="inlineStr">
        <is>
          <t>Barras</t>
        </is>
      </c>
      <c r="B24" s="10" t="inlineStr">
        <is>
          <t>Dupla nas mangas e barra</t>
        </is>
      </c>
      <c r="C24" s="29" t="n"/>
      <c r="D24" s="29" t="n"/>
      <c r="E24" s="30" t="n"/>
    </row>
    <row r="25">
      <c r="A25" s="10" t="inlineStr">
        <is>
          <t>Tratamentos</t>
        </is>
      </c>
      <c r="B25" s="10" t="inlineStr">
        <is>
          <t>Pré-encolhimento (&lt;3%), tingimento reativo, anti-torção, amaciamento, anti-pilling enzimático</t>
        </is>
      </c>
      <c r="C25" s="29" t="n"/>
      <c r="D25" s="29" t="n"/>
      <c r="E25" s="30" t="n"/>
    </row>
    <row r="26">
      <c r="A26" s="10" t="inlineStr">
        <is>
          <t>Anti-rugas</t>
        </is>
      </c>
      <c r="B26" s="10" t="inlineStr">
        <is>
          <t>Não</t>
        </is>
      </c>
      <c r="C26" s="29" t="n"/>
      <c r="D26" s="29" t="n"/>
      <c r="E26" s="30" t="n"/>
    </row>
    <row r="27">
      <c r="A27" s="10" t="inlineStr">
        <is>
          <t>Versão feminina</t>
        </is>
      </c>
      <c r="B27" s="10" t="inlineStr">
        <is>
          <t>Não existe (em análise)</t>
        </is>
      </c>
      <c r="C27" s="29" t="n"/>
      <c r="D27" s="29" t="n"/>
      <c r="E27" s="30" t="n"/>
    </row>
    <row r="29">
      <c r="A29" s="27" t="inlineStr">
        <is>
          <t>3. Tabela de medidas (cm)</t>
        </is>
      </c>
      <c r="B29" s="28" t="n"/>
      <c r="C29" s="28" t="n"/>
      <c r="D29" s="28" t="n"/>
      <c r="E29" s="28" t="n"/>
      <c r="F29" s="28" t="n"/>
    </row>
    <row r="30">
      <c r="A30" s="24" t="inlineStr">
        <is>
          <t>Regular</t>
        </is>
      </c>
    </row>
    <row r="31">
      <c r="A31" s="9" t="inlineStr">
        <is>
          <t>Tamanho</t>
        </is>
      </c>
      <c r="B31" s="9" t="inlineStr">
        <is>
          <t>Comprimento</t>
        </is>
      </c>
      <c r="C31" s="9" t="inlineStr">
        <is>
          <t>Largura</t>
        </is>
      </c>
      <c r="D31" s="9" t="inlineStr">
        <is>
          <t>Ombros</t>
        </is>
      </c>
      <c r="E31" s="9" t="inlineStr">
        <is>
          <t>Mangas</t>
        </is>
      </c>
    </row>
    <row r="32">
      <c r="A32" s="10" t="inlineStr">
        <is>
          <t>P</t>
        </is>
      </c>
      <c r="B32" s="11" t="n">
        <v>70</v>
      </c>
      <c r="C32" s="11" t="n">
        <v>52</v>
      </c>
      <c r="D32" s="11" t="n">
        <v>44</v>
      </c>
      <c r="E32" s="11" t="n">
        <v>16</v>
      </c>
    </row>
    <row r="33">
      <c r="A33" s="10" t="inlineStr">
        <is>
          <t>M</t>
        </is>
      </c>
      <c r="B33" s="11" t="n">
        <v>72</v>
      </c>
      <c r="C33" s="11" t="n">
        <v>54</v>
      </c>
      <c r="D33" s="11" t="n">
        <v>46</v>
      </c>
      <c r="E33" s="11" t="n">
        <v>18</v>
      </c>
    </row>
    <row r="34">
      <c r="A34" s="10" t="inlineStr">
        <is>
          <t>G</t>
        </is>
      </c>
      <c r="B34" s="11" t="n">
        <v>74</v>
      </c>
      <c r="C34" s="11" t="n">
        <v>56</v>
      </c>
      <c r="D34" s="11" t="n">
        <v>48</v>
      </c>
      <c r="E34" s="11" t="n">
        <v>20</v>
      </c>
    </row>
    <row r="35">
      <c r="A35" s="10" t="inlineStr">
        <is>
          <t>GG</t>
        </is>
      </c>
      <c r="B35" s="11" t="n">
        <v>76</v>
      </c>
      <c r="C35" s="11" t="n">
        <v>58</v>
      </c>
      <c r="D35" s="11" t="n">
        <v>50</v>
      </c>
      <c r="E35" s="11" t="n">
        <v>22</v>
      </c>
    </row>
    <row r="36">
      <c r="A36" s="24" t="inlineStr">
        <is>
          <t>Oversized</t>
        </is>
      </c>
    </row>
    <row r="37">
      <c r="A37" s="9" t="inlineStr">
        <is>
          <t>Tamanho</t>
        </is>
      </c>
      <c r="B37" s="9" t="inlineStr">
        <is>
          <t>Comprimento</t>
        </is>
      </c>
      <c r="C37" s="9" t="inlineStr">
        <is>
          <t>Largura</t>
        </is>
      </c>
      <c r="D37" s="9" t="inlineStr">
        <is>
          <t>Ombros</t>
        </is>
      </c>
      <c r="E37" s="9" t="inlineStr">
        <is>
          <t>Mangas</t>
        </is>
      </c>
    </row>
    <row r="38">
      <c r="A38" s="10" t="inlineStr">
        <is>
          <t>P</t>
        </is>
      </c>
      <c r="B38" s="11" t="n">
        <v>74</v>
      </c>
      <c r="C38" s="11" t="n">
        <v>57</v>
      </c>
      <c r="D38" s="11" t="n">
        <v>54</v>
      </c>
      <c r="E38" s="11" t="n">
        <v>24</v>
      </c>
    </row>
    <row r="39">
      <c r="A39" s="10" t="inlineStr">
        <is>
          <t>M</t>
        </is>
      </c>
      <c r="B39" s="11" t="n">
        <v>76</v>
      </c>
      <c r="C39" s="11" t="n">
        <v>59</v>
      </c>
      <c r="D39" s="11" t="n">
        <v>56</v>
      </c>
      <c r="E39" s="11" t="n">
        <v>25</v>
      </c>
    </row>
    <row r="40">
      <c r="A40" s="10" t="inlineStr">
        <is>
          <t>G</t>
        </is>
      </c>
      <c r="B40" s="11" t="n">
        <v>78</v>
      </c>
      <c r="C40" s="11" t="n">
        <v>61</v>
      </c>
      <c r="D40" s="11" t="n">
        <v>58</v>
      </c>
      <c r="E40" s="11" t="n">
        <v>26</v>
      </c>
    </row>
    <row r="41">
      <c r="A41" s="10" t="inlineStr">
        <is>
          <t>GG</t>
        </is>
      </c>
      <c r="B41" s="11" t="n">
        <v>80</v>
      </c>
      <c r="C41" s="11" t="n">
        <v>64</v>
      </c>
      <c r="D41" s="11" t="n">
        <v>60</v>
      </c>
      <c r="E41" s="11" t="n">
        <v>27</v>
      </c>
    </row>
    <row r="42">
      <c r="A42" s="10" t="inlineStr">
        <is>
          <t>G1</t>
        </is>
      </c>
      <c r="B42" s="11" t="n">
        <v>82</v>
      </c>
      <c r="C42" s="11" t="n">
        <v>67</v>
      </c>
      <c r="D42" s="11" t="n">
        <v>62</v>
      </c>
      <c r="E42" s="11" t="n">
        <v>28</v>
      </c>
    </row>
    <row r="43" ht="30" customHeight="1">
      <c r="A43" s="2" t="inlineStr">
        <is>
          <t>Regular vai só até GG (sem EG ⚠️). ± 2 cm.</t>
        </is>
      </c>
    </row>
    <row r="44">
      <c r="A44" s="15" t="inlineStr">
        <is>
          <t>Modelo das fotos: 1,84 m · 84 kg · veste M</t>
        </is>
      </c>
    </row>
    <row r="46">
      <c r="A46" s="27" t="inlineStr">
        <is>
          <t>4. Cores disponíveis</t>
        </is>
      </c>
      <c r="B46" s="28" t="n"/>
      <c r="C46" s="28" t="n"/>
      <c r="D46" s="28" t="n"/>
      <c r="E46" s="28" t="n"/>
      <c r="F46" s="28" t="n"/>
    </row>
    <row r="47">
      <c r="A47" s="9" t="inlineStr">
        <is>
          <t>Cor</t>
        </is>
      </c>
      <c r="B47" s="9" t="inlineStr">
        <is>
          <t>Código HMZT</t>
        </is>
      </c>
      <c r="C47" s="9" t="inlineStr">
        <is>
          <t>Ref. fornecedor</t>
        </is>
      </c>
      <c r="D47" s="9" t="inlineStr">
        <is>
          <t>Observação</t>
        </is>
      </c>
    </row>
    <row r="48">
      <c r="A48" s="10" t="inlineStr">
        <is>
          <t>Preto</t>
        </is>
      </c>
      <c r="B48" s="10" t="inlineStr">
        <is>
          <t>PRT</t>
        </is>
      </c>
      <c r="C48" s="10" t="inlineStr">
        <is>
          <t>CHW-PRT</t>
        </is>
      </c>
      <c r="D48" s="10" t="inlineStr">
        <is>
          <t>Maior giro</t>
        </is>
      </c>
    </row>
    <row r="49">
      <c r="A49" s="10" t="inlineStr">
        <is>
          <t>Cinza</t>
        </is>
      </c>
      <c r="B49" s="10" t="inlineStr">
        <is>
          <t>CZA</t>
        </is>
      </c>
      <c r="C49" s="10" t="inlineStr">
        <is>
          <t>CHW-CZA</t>
        </is>
      </c>
      <c r="D49" s="10" t="inlineStr"/>
    </row>
    <row r="50">
      <c r="A50" s="10" t="inlineStr">
        <is>
          <t>Marinho</t>
        </is>
      </c>
      <c r="B50" s="10" t="inlineStr">
        <is>
          <t>MAR</t>
        </is>
      </c>
      <c r="C50" s="10" t="inlineStr">
        <is>
          <t>CHW-MRN</t>
        </is>
      </c>
      <c r="D50" s="10" t="inlineStr"/>
    </row>
    <row r="51">
      <c r="A51" s="10" t="inlineStr">
        <is>
          <t>Off White</t>
        </is>
      </c>
      <c r="B51" s="10" t="inlineStr">
        <is>
          <t>OFF</t>
        </is>
      </c>
      <c r="C51" s="10" t="inlineStr">
        <is>
          <t>CHW-OFW</t>
        </is>
      </c>
      <c r="D51" s="10" t="inlineStr"/>
    </row>
    <row r="52" ht="30" customHeight="1">
      <c r="A52" s="2" t="inlineStr">
        <is>
          <t>Pantone a partir de 100 pç/cor, 15–25 dias úteis.</t>
        </is>
      </c>
    </row>
    <row r="54">
      <c r="A54" s="27" t="inlineStr">
        <is>
          <t>5. Personalização (preço sempre sob orçamento)</t>
        </is>
      </c>
      <c r="B54" s="28" t="n"/>
      <c r="C54" s="28" t="n"/>
      <c r="D54" s="28" t="n"/>
      <c r="E54" s="28" t="n"/>
      <c r="F54" s="28" t="n"/>
    </row>
    <row r="55">
      <c r="A55" s="9" t="inlineStr">
        <is>
          <t>Técnica</t>
        </is>
      </c>
      <c r="B55" s="9" t="inlineStr">
        <is>
          <t>Detalhe</t>
        </is>
      </c>
      <c r="C55" s="9" t="inlineStr">
        <is>
          <t>Mínimo</t>
        </is>
      </c>
    </row>
    <row r="56">
      <c r="A56" s="10" t="inlineStr">
        <is>
          <t>Silk</t>
        </is>
      </c>
      <c r="B56" s="10" t="inlineStr">
        <is>
          <t>Até 4 cores</t>
        </is>
      </c>
      <c r="C56" s="10" t="inlineStr">
        <is>
          <t>20 pç</t>
        </is>
      </c>
    </row>
    <row r="57">
      <c r="A57" s="10" t="inlineStr">
        <is>
          <t>DTF</t>
        </is>
      </c>
      <c r="B57" s="10" t="inlineStr">
        <is>
          <t>Full color</t>
        </is>
      </c>
      <c r="C57" s="10" t="inlineStr">
        <is>
          <t>20 pç</t>
        </is>
      </c>
    </row>
    <row r="58">
      <c r="A58" s="10" t="inlineStr">
        <is>
          <t>Bordado</t>
        </is>
      </c>
      <c r="B58" s="10" t="inlineStr">
        <is>
          <t>Até 15.000 pontos</t>
        </is>
      </c>
      <c r="C58" s="10" t="inlineStr">
        <is>
          <t>20 pç</t>
        </is>
      </c>
    </row>
    <row r="59">
      <c r="A59" s="10" t="inlineStr">
        <is>
          <t>Sublimação</t>
        </is>
      </c>
      <c r="B59" s="14" t="inlineStr">
        <is>
          <t>⚠️ Não funciona em 100% algodão — não usar</t>
        </is>
      </c>
      <c r="C59" s="10" t="inlineStr">
        <is>
          <t>20 pç</t>
        </is>
      </c>
    </row>
    <row r="60">
      <c r="A60" s="10" t="inlineStr">
        <is>
          <t>Etiqueta private label</t>
        </is>
      </c>
      <c r="B60" s="10" t="inlineStr"/>
      <c r="C60" s="10" t="inlineStr">
        <is>
          <t>20 pç</t>
        </is>
      </c>
    </row>
    <row r="61">
      <c r="A61" s="10" t="inlineStr">
        <is>
          <t>Embalagem customizada</t>
        </is>
      </c>
      <c r="B61" s="10" t="inlineStr"/>
      <c r="C61" s="10" t="inlineStr">
        <is>
          <t>50 pç</t>
        </is>
      </c>
    </row>
    <row r="62">
      <c r="A62" s="10" t="inlineStr">
        <is>
          <t>Cor Pantone</t>
        </is>
      </c>
      <c r="B62" s="10" t="inlineStr"/>
      <c r="C62" s="10" t="inlineStr">
        <is>
          <t>100 pç/cor</t>
        </is>
      </c>
    </row>
    <row r="64">
      <c r="A64" s="27" t="inlineStr">
        <is>
          <t>6. Preços do fornecedor (desconto progressivo)</t>
        </is>
      </c>
      <c r="B64" s="28" t="n"/>
      <c r="C64" s="28" t="n"/>
      <c r="D64" s="28" t="n"/>
      <c r="E64" s="28" t="n"/>
      <c r="F64" s="28" t="n"/>
    </row>
    <row r="65">
      <c r="A65" s="24" t="inlineStr">
        <is>
          <t>Preço base (R$)</t>
        </is>
      </c>
      <c r="B65" s="31" t="n">
        <v>52.79</v>
      </c>
    </row>
    <row r="66">
      <c r="A66" s="17" t="inlineStr">
        <is>
          <t>Faixa</t>
        </is>
      </c>
      <c r="B66" s="17" t="inlineStr">
        <is>
          <t>Peças</t>
        </is>
      </c>
      <c r="C66" s="17" t="inlineStr">
        <is>
          <t>Desconto</t>
        </is>
      </c>
      <c r="D66" s="17" t="inlineStr">
        <is>
          <t>Preço unitário</t>
        </is>
      </c>
      <c r="E66" s="17" t="inlineStr">
        <is>
          <t>Preço + Pix</t>
        </is>
      </c>
    </row>
    <row r="67">
      <c r="A67" s="18" t="inlineStr">
        <is>
          <t>Faixa 1</t>
        </is>
      </c>
      <c r="B67" s="18" t="inlineStr">
        <is>
          <t>20–40</t>
        </is>
      </c>
      <c r="C67" s="32">
        <f>'Regras Fornecedor'!$D$4</f>
        <v/>
      </c>
      <c r="D67" s="33">
        <f>ROUND($B$65*(1-C67),2)</f>
        <v/>
      </c>
      <c r="E67" s="34">
        <f>ROUND(D67*(1-'Regras Fornecedor'!$B$10),2)</f>
        <v/>
      </c>
    </row>
    <row r="68">
      <c r="A68" s="18" t="inlineStr">
        <is>
          <t>Faixa 2</t>
        </is>
      </c>
      <c r="B68" s="18" t="inlineStr">
        <is>
          <t>40–80</t>
        </is>
      </c>
      <c r="C68" s="32">
        <f>'Regras Fornecedor'!$D$5</f>
        <v/>
      </c>
      <c r="D68" s="33">
        <f>ROUND($B$65*(1-C68),2)</f>
        <v/>
      </c>
      <c r="E68" s="34">
        <f>ROUND(D68*(1-'Regras Fornecedor'!$B$10),2)</f>
        <v/>
      </c>
    </row>
    <row r="69">
      <c r="A69" s="18" t="inlineStr">
        <is>
          <t>Faixa 3</t>
        </is>
      </c>
      <c r="B69" s="18" t="inlineStr">
        <is>
          <t>80–100</t>
        </is>
      </c>
      <c r="C69" s="32">
        <f>'Regras Fornecedor'!$D$6</f>
        <v/>
      </c>
      <c r="D69" s="33">
        <f>ROUND($B$65*(1-C69),2)</f>
        <v/>
      </c>
      <c r="E69" s="34">
        <f>ROUND(D69*(1-'Regras Fornecedor'!$B$10),2)</f>
        <v/>
      </c>
    </row>
    <row r="70">
      <c r="A70" s="18" t="inlineStr">
        <is>
          <t>Faixa 4</t>
        </is>
      </c>
      <c r="B70" s="18" t="inlineStr">
        <is>
          <t>100–300</t>
        </is>
      </c>
      <c r="C70" s="32">
        <f>'Regras Fornecedor'!$D$7</f>
        <v/>
      </c>
      <c r="D70" s="33">
        <f>ROUND($B$65*(1-C70),2)</f>
        <v/>
      </c>
      <c r="E70" s="34">
        <f>ROUND(D70*(1-'Regras Fornecedor'!$B$10),2)</f>
        <v/>
      </c>
    </row>
    <row r="71">
      <c r="A71" s="18" t="inlineStr">
        <is>
          <t>Faixa 5</t>
        </is>
      </c>
      <c r="B71" s="18" t="inlineStr">
        <is>
          <t>300–999</t>
        </is>
      </c>
      <c r="C71" s="32">
        <f>'Regras Fornecedor'!$D$8</f>
        <v/>
      </c>
      <c r="D71" s="33">
        <f>ROUND($B$65*(1-C71),2)</f>
        <v/>
      </c>
      <c r="E71" s="34">
        <f>ROUND(D71*(1-'Regras Fornecedor'!$B$10),2)</f>
        <v/>
      </c>
    </row>
    <row r="73">
      <c r="A73" s="27" t="inlineStr">
        <is>
          <t>7. Custo HMZT e margem (lote de 20 peças, Pix)</t>
        </is>
      </c>
      <c r="B73" s="28" t="n"/>
      <c r="C73" s="28" t="n"/>
      <c r="D73" s="28" t="n"/>
      <c r="E73" s="28" t="n"/>
      <c r="F73" s="28" t="n"/>
    </row>
    <row r="74">
      <c r="A74" s="24" t="inlineStr">
        <is>
          <t>Peça (20 pç, Pix)</t>
        </is>
      </c>
      <c r="B74" s="35">
        <f>E67</f>
        <v/>
      </c>
    </row>
    <row r="75">
      <c r="A75" s="24" t="inlineStr">
        <is>
          <t>Personalização + etiqueta + tag (R$/pç)</t>
        </is>
      </c>
      <c r="B75" s="36" t="n">
        <v>15</v>
      </c>
      <c r="C75" s="15" t="inlineStr">
        <is>
          <t>Estimativa HMZT — trocar pelo orçamento real</t>
        </is>
      </c>
    </row>
    <row r="76">
      <c r="A76" s="24" t="inlineStr">
        <is>
          <t>Frete rateado + embalagem (R$/pç)</t>
        </is>
      </c>
      <c r="B76" s="36" t="n">
        <v>5</v>
      </c>
      <c r="C76" s="15" t="inlineStr">
        <is>
          <t>Estimativa HMZT — trocar pelo orçamento real</t>
        </is>
      </c>
    </row>
    <row r="77">
      <c r="A77" s="24" t="inlineStr">
        <is>
          <t>Custo unitário estimado</t>
        </is>
      </c>
      <c r="B77" s="37">
        <f>SUM(B74:B76)</f>
        <v/>
      </c>
    </row>
    <row r="78">
      <c r="A78" s="24" t="inlineStr">
        <is>
          <t>Preço de venda HMZT (R$)</t>
        </is>
      </c>
      <c r="B78" s="36" t="n">
        <v>169</v>
      </c>
      <c r="C78" s="15" t="inlineStr">
        <is>
          <t>Sugestão do dossiê — ajustar</t>
        </is>
      </c>
    </row>
    <row r="79">
      <c r="A79" s="24" t="inlineStr">
        <is>
          <t>Impostos + gateway (% do preço)</t>
        </is>
      </c>
      <c r="B79" s="38" t="n">
        <v>0</v>
      </c>
      <c r="C79" s="15" t="inlineStr">
        <is>
          <t>A preencher (Simples + taxa Asaas)</t>
        </is>
      </c>
    </row>
    <row r="80">
      <c r="A80" s="24" t="inlineStr">
        <is>
          <t>Margem bruta (R$)</t>
        </is>
      </c>
      <c r="B80" s="35">
        <f>B78-B77</f>
        <v/>
      </c>
    </row>
    <row r="81">
      <c r="A81" s="24" t="inlineStr">
        <is>
          <t>Margem bruta (%)</t>
        </is>
      </c>
      <c r="B81" s="39">
        <f>IF(B78=0,0,(B78-B77)/B78)</f>
        <v/>
      </c>
    </row>
    <row r="82">
      <c r="A82" s="24" t="inlineStr">
        <is>
          <t>Margem após impostos/gateway (%)</t>
        </is>
      </c>
      <c r="B82" s="39">
        <f>IF(B78=0,0,(B78*(1-B79)-B77)/B78)</f>
        <v/>
      </c>
      <c r="C82" s="15" t="inlineStr">
        <is>
          <t>Ainda sem frete ao cliente e mídia</t>
        </is>
      </c>
    </row>
    <row r="84">
      <c r="A84" s="27" t="inlineStr">
        <is>
          <t>8. Contradições e erros ⚠️</t>
        </is>
      </c>
      <c r="B84" s="28" t="n"/>
      <c r="C84" s="28" t="n"/>
      <c r="D84" s="28" t="n"/>
      <c r="E84" s="28" t="n"/>
      <c r="F84" s="28" t="n"/>
    </row>
    <row r="85">
      <c r="A85" s="8" t="inlineStr">
        <is>
          <t>⚠️ Sublimação oferecida em 100% algodão</t>
        </is>
      </c>
    </row>
    <row r="86">
      <c r="A86" s="8" t="inlineStr">
        <is>
          <t>⚠️ Chinese Cotton citada como 180g (página P06 diz 160g)</t>
        </is>
      </c>
    </row>
    <row r="87">
      <c r="A87" s="8" t="inlineStr">
        <is>
          <t>⚠️ Grade regular só até GG</t>
        </is>
      </c>
    </row>
    <row r="88">
      <c r="A88" s="8" t="inlineStr">
        <is>
          <t>⚠️ Oversized sem página/SKU visível</t>
        </is>
      </c>
    </row>
    <row r="89">
      <c r="A89" s="8" t="inlineStr">
        <is>
          <t>⚠️ Referência com 12 dígitos</t>
        </is>
      </c>
    </row>
    <row r="91">
      <c r="A91" s="27" t="inlineStr">
        <is>
          <t>9. Comunicação HMZT</t>
        </is>
      </c>
      <c r="B91" s="28" t="n"/>
      <c r="C91" s="28" t="n"/>
      <c r="D91" s="28" t="n"/>
      <c r="E91" s="28" t="n"/>
      <c r="F91" s="28" t="n"/>
    </row>
    <row r="92">
      <c r="A92" s="24" t="inlineStr">
        <is>
          <t>✅ Pode usar</t>
        </is>
      </c>
      <c r="D92" s="24" t="inlineStr">
        <is>
          <t>📣 / ⛔ Não usar</t>
        </is>
      </c>
    </row>
    <row r="93">
      <c r="A93" s="40" t="inlineStr">
        <is>
          <t>Heavyweight 300 g/m², fio 2 cabos</t>
        </is>
      </c>
      <c r="D93" s="8" t="inlineStr">
        <is>
          <t>Origem Xinjiang (NUNCA citar)</t>
        </is>
      </c>
    </row>
    <row r="94">
      <c r="A94" s="40" t="inlineStr">
        <is>
          <t>100% algodão de fibra longa</t>
        </is>
      </c>
      <c r="D94" s="8" t="inlineStr">
        <is>
          <t>"95% das heavyweight nacionais…"</t>
        </is>
      </c>
    </row>
    <row r="95">
      <c r="A95" s="40" t="inlineStr">
        <is>
          <t>Gola estruturada, reforço ombro a ombro</t>
        </is>
      </c>
      <c r="D95" s="8" t="inlineStr">
        <is>
          <t>"Não forma pilling", "maior recompra"</t>
        </is>
      </c>
    </row>
    <row r="96">
      <c r="A96" s="40" t="inlineStr">
        <is>
          <t>Regular e oversized</t>
        </is>
      </c>
    </row>
    <row r="98">
      <c r="A98" s="27" t="inlineStr">
        <is>
          <t>10. Pendências com o fornecedor</t>
        </is>
      </c>
      <c r="B98" s="28" t="n"/>
      <c r="C98" s="28" t="n"/>
      <c r="D98" s="28" t="n"/>
      <c r="E98" s="28" t="n"/>
      <c r="F98" s="28" t="n"/>
    </row>
    <row r="99">
      <c r="A99" s="9" t="inlineStr">
        <is>
          <t>Pendência</t>
        </is>
      </c>
      <c r="B99" s="9" t="inlineStr">
        <is>
          <t>Status</t>
        </is>
      </c>
      <c r="C99" s="9" t="inlineStr">
        <is>
          <t>Responsável</t>
        </is>
      </c>
      <c r="D99" s="9" t="inlineStr">
        <is>
          <t>Resposta</t>
        </is>
      </c>
    </row>
    <row r="100">
      <c r="A100" s="10" t="inlineStr">
        <is>
          <t>Como pedir a oversized (SKU, fotos)</t>
        </is>
      </c>
      <c r="B100" s="11" t="inlineStr">
        <is>
          <t>Aberta</t>
        </is>
      </c>
      <c r="C100" s="11" t="inlineStr"/>
      <c r="D100" s="11" t="inlineStr"/>
    </row>
    <row r="101">
      <c r="A101" s="10" t="inlineStr">
        <is>
          <t>Regular tem EG?</t>
        </is>
      </c>
      <c r="B101" s="11" t="inlineStr">
        <is>
          <t>Aberta</t>
        </is>
      </c>
      <c r="C101" s="11" t="inlineStr"/>
      <c r="D101" s="11" t="inlineStr"/>
    </row>
    <row r="102">
      <c r="A102" s="10" t="inlineStr">
        <is>
          <t>Orçamento silk/DTF A3 + bordado</t>
        </is>
      </c>
      <c r="B102" s="11" t="inlineStr">
        <is>
          <t>Aberta</t>
        </is>
      </c>
      <c r="C102" s="11" t="inlineStr"/>
      <c r="D102" s="11" t="inlineStr"/>
    </row>
    <row r="103">
      <c r="A103" s="10" t="inlineStr">
        <is>
          <t>Documentação de origem</t>
        </is>
      </c>
      <c r="B103" s="11" t="inlineStr">
        <is>
          <t>Aberta</t>
        </is>
      </c>
      <c r="C103" s="11" t="inlineStr"/>
      <c r="D103" s="11" t="inlineStr"/>
    </row>
    <row r="104">
      <c r="A104" s="10" t="inlineStr">
        <is>
          <t>Resto do FAQ</t>
        </is>
      </c>
      <c r="B104" s="11" t="inlineStr">
        <is>
          <t>Aberta</t>
        </is>
      </c>
      <c r="C104" s="11" t="inlineStr"/>
      <c r="D104" s="11" t="inlineStr"/>
    </row>
    <row r="106">
      <c r="A106" s="27" t="inlineStr">
        <is>
          <t>11. Fluxo de prompts de lookbook (docs/shop-confeccao/prompts/P05-prompts.md)</t>
        </is>
      </c>
      <c r="B106" s="28" t="n"/>
      <c r="C106" s="28" t="n"/>
      <c r="D106" s="28" t="n"/>
      <c r="E106" s="28" t="n"/>
      <c r="F106" s="28" t="n"/>
    </row>
    <row r="107">
      <c r="A107" s="9" t="inlineStr">
        <is>
          <t>Foto</t>
        </is>
      </c>
      <c r="B107" s="9" t="inlineStr">
        <is>
          <t>Origem no print</t>
        </is>
      </c>
      <c r="C107" s="9" t="inlineStr">
        <is>
          <t>Formato</t>
        </is>
      </c>
      <c r="D107" s="9" t="inlineStr">
        <is>
          <t>Status</t>
        </is>
      </c>
    </row>
    <row r="108">
      <c r="A108" s="10" t="inlineStr">
        <is>
          <t>F1 — Hero frontal segurando a barra</t>
        </is>
      </c>
      <c r="B108" s="10" t="inlineStr">
        <is>
          <t>Foto principal e 1ª miniatura</t>
        </is>
      </c>
      <c r="C108" s="10" t="inlineStr">
        <is>
          <t>4:5</t>
        </is>
      </c>
      <c r="D108" s="11" t="inlineStr">
        <is>
          <t>A gerar</t>
        </is>
      </c>
    </row>
    <row r="109">
      <c r="A109" s="10" t="inlineStr">
        <is>
          <t>F2 — 3/4</t>
        </is>
      </c>
      <c r="B109" s="10" t="inlineStr">
        <is>
          <t>2ª foto e 2ª miniatura</t>
        </is>
      </c>
      <c r="C109" s="10" t="inlineStr">
        <is>
          <t>4:5</t>
        </is>
      </c>
      <c r="D109" s="11" t="inlineStr">
        <is>
          <t>A gerar</t>
        </is>
      </c>
    </row>
    <row r="110">
      <c r="A110" s="10" t="inlineStr">
        <is>
          <t>F3 — Costas</t>
        </is>
      </c>
      <c r="B110" s="10" t="inlineStr">
        <is>
          <t>3ª foto e 3ª miniatura</t>
        </is>
      </c>
      <c r="C110" s="10" t="inlineStr">
        <is>
          <t>4:5</t>
        </is>
      </c>
      <c r="D110" s="11" t="inlineStr">
        <is>
          <t>A gerar</t>
        </is>
      </c>
    </row>
    <row r="111">
      <c r="A111" s="10" t="inlineStr">
        <is>
          <t>F4 — Mockup de personalização (versão HMZT)</t>
        </is>
      </c>
      <c r="B111" s="10" t="inlineStr">
        <is>
          <t>4ª miniatura — no original é a arte promocional do fornecedor sobre peça off-white; aqui vira base lisa para arte HMZT</t>
        </is>
      </c>
      <c r="C111" s="10" t="inlineStr">
        <is>
          <t>4:5</t>
        </is>
      </c>
      <c r="D111" s="11" t="inlineStr">
        <is>
          <t>A gerar</t>
        </is>
      </c>
    </row>
    <row r="112">
      <c r="A112" s="10" t="inlineStr">
        <is>
          <t>F5 — Oversized (variante não fotografada)</t>
        </is>
      </c>
      <c r="B112" s="10" t="inlineStr">
        <is>
          <t>Não existe no print — a malha também vem em oversized (dossiê P05)</t>
        </is>
      </c>
      <c r="C112" s="10" t="inlineStr">
        <is>
          <t>4:5</t>
        </is>
      </c>
      <c r="D112" s="11" t="inlineStr">
        <is>
          <t>A gerar</t>
        </is>
      </c>
    </row>
  </sheetData>
  <mergeCells count="35">
    <mergeCell ref="B4:F4"/>
    <mergeCell ref="B7:F7"/>
    <mergeCell ref="A89:F89"/>
    <mergeCell ref="B15:E15"/>
    <mergeCell ref="B24:E24"/>
    <mergeCell ref="B20:E20"/>
    <mergeCell ref="A86:F86"/>
    <mergeCell ref="A95:C95"/>
    <mergeCell ref="B26:E26"/>
    <mergeCell ref="A85:F85"/>
    <mergeCell ref="B11:F11"/>
    <mergeCell ref="D93:F93"/>
    <mergeCell ref="B16:E16"/>
    <mergeCell ref="B25:E25"/>
    <mergeCell ref="B8:F8"/>
    <mergeCell ref="A96:C96"/>
    <mergeCell ref="B22:E22"/>
    <mergeCell ref="A43:F43"/>
    <mergeCell ref="B18:E18"/>
    <mergeCell ref="B27:E27"/>
    <mergeCell ref="A52:F52"/>
    <mergeCell ref="A93:C93"/>
    <mergeCell ref="B10:F10"/>
    <mergeCell ref="D94:F94"/>
    <mergeCell ref="B21:E21"/>
    <mergeCell ref="B9:F9"/>
    <mergeCell ref="B17:E17"/>
    <mergeCell ref="B23:E23"/>
    <mergeCell ref="B6:F6"/>
    <mergeCell ref="A94:C94"/>
    <mergeCell ref="B5:F5"/>
    <mergeCell ref="A88:F88"/>
    <mergeCell ref="B19:E19"/>
    <mergeCell ref="A87:F87"/>
    <mergeCell ref="D95:F9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P06 — Camiseta Chinese Cotton 160g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HMZT-P06-REG-XJG160</t>
        </is>
      </c>
    </row>
    <row r="5">
      <c r="A5" s="24" t="inlineStr">
        <is>
          <t>Fornecedor</t>
        </is>
      </c>
      <c r="B5" s="2" t="inlineStr">
        <is>
          <t>Lunfe Malhas — fabricação própria, Itajaí-SC</t>
        </is>
      </c>
    </row>
    <row r="6">
      <c r="A6" s="24" t="inlineStr">
        <is>
          <t>Referência</t>
        </is>
      </c>
      <c r="B6" s="2" t="inlineStr">
        <is>
          <t>7908365128857 (EAN-13)</t>
        </is>
      </c>
    </row>
    <row r="7">
      <c r="A7" s="24" t="inlineStr">
        <is>
          <t>URL</t>
        </is>
      </c>
      <c r="B7" s="2" t="inlineStr">
        <is>
          <t>lunfemalhas.com.br/camiseta-chinese-cotton-atacado-lunfe</t>
        </is>
      </c>
    </row>
    <row r="8">
      <c r="A8" s="24" t="inlineStr">
        <is>
          <t>Categoria no site</t>
        </is>
      </c>
      <c r="B8" s="2" t="inlineStr">
        <is>
          <t>Camisetas › Masculino › Premium</t>
        </is>
      </c>
    </row>
    <row r="9">
      <c r="A9" s="24" t="inlineStr">
        <is>
          <t>Linha HMZT recomendada</t>
        </is>
      </c>
      <c r="B9" s="8" t="inlineStr">
        <is>
          <t>Essencial (alternativa ⚠️ Xinjiang)</t>
        </is>
      </c>
    </row>
    <row r="10">
      <c r="A10" s="24" t="inlineStr">
        <is>
          <t>Estoque</t>
        </is>
      </c>
      <c r="B10" s="2" t="inlineStr">
        <is>
          <t>5 cores em pronta entrega permanente</t>
        </is>
      </c>
    </row>
    <row r="11">
      <c r="A11" s="24" t="inlineStr">
        <is>
          <t>Descritor canônico (IA)</t>
        </is>
      </c>
      <c r="B11" s="2" t="inlineStr">
        <is>
          <t>Camiseta masculina regular fit, gola careca canelada fina, malha leve de algodão penteado com leve brilho acetinado.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importado — Xinjiang, China ⚠️</t>
        </is>
      </c>
      <c r="C15" s="29" t="n"/>
      <c r="D15" s="29" t="n"/>
      <c r="E15" s="30" t="n"/>
    </row>
    <row r="16">
      <c r="A16" s="10" t="inlineStr">
        <is>
          <t>Fibra</t>
        </is>
      </c>
      <c r="B16" s="10" t="inlineStr">
        <is>
          <t>Longa, staple 28–30 mm</t>
        </is>
      </c>
      <c r="C16" s="29" t="n"/>
      <c r="D16" s="29" t="n"/>
      <c r="E16" s="30" t="n"/>
    </row>
    <row r="17">
      <c r="A17" s="10" t="inlineStr">
        <is>
          <t>Fio</t>
        </is>
      </c>
      <c r="B17" s="10" t="inlineStr">
        <is>
          <t>Penteado, 30/1</t>
        </is>
      </c>
      <c r="C17" s="29" t="n"/>
      <c r="D17" s="29" t="n"/>
      <c r="E17" s="30" t="n"/>
    </row>
    <row r="18">
      <c r="A18" s="10" t="inlineStr">
        <is>
          <t>Gramatura</t>
        </is>
      </c>
      <c r="B18" s="10" t="inlineStr">
        <is>
          <t>160 g/m² ± 5% (⚠️ texto do P05 diz 180g)</t>
        </is>
      </c>
      <c r="C18" s="29" t="n"/>
      <c r="D18" s="29" t="n"/>
      <c r="E18" s="30" t="n"/>
    </row>
    <row r="19">
      <c r="A19" s="10" t="inlineStr">
        <is>
          <t>Rolo / rendimento</t>
        </is>
      </c>
      <c r="B19" s="10" t="inlineStr">
        <is>
          <t>1,80 m tubular aberta · 4,0–4,5 camisetas/m (M)</t>
        </is>
      </c>
      <c r="C19" s="29" t="n"/>
      <c r="D19" s="29" t="n"/>
      <c r="E19" s="30" t="n"/>
    </row>
    <row r="20">
      <c r="A20" s="10" t="inlineStr">
        <is>
          <t>Modelagem</t>
        </is>
      </c>
      <c r="B20" s="10" t="inlineStr">
        <is>
          <t>Regular fit</t>
        </is>
      </c>
      <c r="C20" s="29" t="n"/>
      <c r="D20" s="29" t="n"/>
      <c r="E20" s="30" t="n"/>
    </row>
    <row r="21">
      <c r="A21" s="10" t="inlineStr">
        <is>
          <t>Gola</t>
        </is>
      </c>
      <c r="B21" s="10" t="inlineStr">
        <is>
          <t>Canelada 2/1, fecho em anel (sem emenda frontal)</t>
        </is>
      </c>
      <c r="C21" s="29" t="n"/>
      <c r="D21" s="29" t="n"/>
      <c r="E21" s="30" t="n"/>
    </row>
    <row r="22">
      <c r="A22" s="10" t="inlineStr">
        <is>
          <t>Ombros</t>
        </is>
      </c>
      <c r="B22" s="10" t="inlineStr">
        <is>
          <t>Reforço ombro a ombro</t>
        </is>
      </c>
      <c r="C22" s="29" t="n"/>
      <c r="D22" s="29" t="n"/>
      <c r="E22" s="30" t="n"/>
    </row>
    <row r="23">
      <c r="A23" s="10" t="inlineStr">
        <is>
          <t>Costuras</t>
        </is>
      </c>
      <c r="B23" s="10" t="inlineStr">
        <is>
          <t>Ponto cadeia</t>
        </is>
      </c>
      <c r="C23" s="29" t="n"/>
      <c r="D23" s="29" t="n"/>
      <c r="E23" s="30" t="n"/>
    </row>
    <row r="24">
      <c r="A24" s="10" t="inlineStr">
        <is>
          <t>Barras</t>
        </is>
      </c>
      <c r="B24" s="10" t="inlineStr">
        <is>
          <t>Dupla nas mangas e barra</t>
        </is>
      </c>
      <c r="C24" s="29" t="n"/>
      <c r="D24" s="29" t="n"/>
      <c r="E24" s="30" t="n"/>
    </row>
    <row r="25">
      <c r="A25" s="10" t="inlineStr">
        <is>
          <t>Tratamentos</t>
        </is>
      </c>
      <c r="B25" s="10" t="inlineStr">
        <is>
          <t>Pré-encolhimento (&lt;3%), tingimento reativo, anti-torção, anti-pilling enzimático, amaciamento</t>
        </is>
      </c>
      <c r="C25" s="29" t="n"/>
      <c r="D25" s="29" t="n"/>
      <c r="E25" s="30" t="n"/>
    </row>
    <row r="27">
      <c r="A27" s="27" t="inlineStr">
        <is>
          <t>3. Tabela de medidas (cm)</t>
        </is>
      </c>
      <c r="B27" s="28" t="n"/>
      <c r="C27" s="28" t="n"/>
      <c r="D27" s="28" t="n"/>
      <c r="E27" s="28" t="n"/>
      <c r="F27" s="28" t="n"/>
    </row>
    <row r="28">
      <c r="A28" s="9" t="inlineStr">
        <is>
          <t>Tamanho</t>
        </is>
      </c>
      <c r="B28" s="9" t="inlineStr">
        <is>
          <t>Comprimento</t>
        </is>
      </c>
      <c r="C28" s="9" t="inlineStr">
        <is>
          <t>Largura</t>
        </is>
      </c>
      <c r="D28" s="9" t="inlineStr">
        <is>
          <t>Ombros</t>
        </is>
      </c>
      <c r="E28" s="9" t="inlineStr">
        <is>
          <t>Mangas</t>
        </is>
      </c>
    </row>
    <row r="29">
      <c r="A29" s="10" t="inlineStr">
        <is>
          <t>P</t>
        </is>
      </c>
      <c r="B29" s="11" t="n">
        <v>70</v>
      </c>
      <c r="C29" s="11" t="n">
        <v>52</v>
      </c>
      <c r="D29" s="11" t="n">
        <v>44</v>
      </c>
      <c r="E29" s="11" t="n">
        <v>16</v>
      </c>
    </row>
    <row r="30">
      <c r="A30" s="10" t="inlineStr">
        <is>
          <t>M</t>
        </is>
      </c>
      <c r="B30" s="11" t="n">
        <v>72</v>
      </c>
      <c r="C30" s="11" t="n">
        <v>54</v>
      </c>
      <c r="D30" s="11" t="n">
        <v>46</v>
      </c>
      <c r="E30" s="11" t="n">
        <v>18</v>
      </c>
    </row>
    <row r="31">
      <c r="A31" s="10" t="inlineStr">
        <is>
          <t>G</t>
        </is>
      </c>
      <c r="B31" s="11" t="n">
        <v>74</v>
      </c>
      <c r="C31" s="11" t="n">
        <v>56</v>
      </c>
      <c r="D31" s="11" t="n">
        <v>48</v>
      </c>
      <c r="E31" s="11" t="n">
        <v>20</v>
      </c>
    </row>
    <row r="32">
      <c r="A32" s="10" t="inlineStr">
        <is>
          <t>GG</t>
        </is>
      </c>
      <c r="B32" s="11" t="n">
        <v>76</v>
      </c>
      <c r="C32" s="11" t="n">
        <v>58</v>
      </c>
      <c r="D32" s="11" t="n">
        <v>50</v>
      </c>
      <c r="E32" s="11" t="n">
        <v>22</v>
      </c>
    </row>
    <row r="33">
      <c r="A33" s="10" t="inlineStr">
        <is>
          <t>EG</t>
        </is>
      </c>
      <c r="B33" s="11" t="n">
        <v>78</v>
      </c>
      <c r="C33" s="11" t="n">
        <v>60</v>
      </c>
      <c r="D33" s="11" t="n">
        <v>52</v>
      </c>
      <c r="E33" s="11" t="n">
        <v>24</v>
      </c>
    </row>
    <row r="34" ht="30" customHeight="1">
      <c r="A34" s="2" t="inlineStr">
        <is>
          <t>± 2 cm. Grade customizada acima de 200 pç.</t>
        </is>
      </c>
    </row>
    <row r="35">
      <c r="A35" s="15" t="inlineStr">
        <is>
          <t>Modelo das fotos: 1,84 m · 84 kg · veste M</t>
        </is>
      </c>
    </row>
    <row r="37">
      <c r="A37" s="27" t="inlineStr">
        <is>
          <t>4. Cores disponíveis</t>
        </is>
      </c>
      <c r="B37" s="28" t="n"/>
      <c r="C37" s="28" t="n"/>
      <c r="D37" s="28" t="n"/>
      <c r="E37" s="28" t="n"/>
      <c r="F37" s="28" t="n"/>
    </row>
    <row r="38">
      <c r="A38" s="9" t="inlineStr">
        <is>
          <t>Cor</t>
        </is>
      </c>
      <c r="B38" s="9" t="inlineStr">
        <is>
          <t>Código HMZT</t>
        </is>
      </c>
      <c r="C38" s="9" t="inlineStr">
        <is>
          <t>Ref. fornecedor</t>
        </is>
      </c>
      <c r="D38" s="9" t="inlineStr">
        <is>
          <t>Observação</t>
        </is>
      </c>
    </row>
    <row r="39">
      <c r="A39" s="10" t="inlineStr">
        <is>
          <t>Preto</t>
        </is>
      </c>
      <c r="B39" s="10" t="inlineStr">
        <is>
          <t>PRT</t>
        </is>
      </c>
      <c r="C39" s="10" t="inlineStr">
        <is>
          <t>CHC-PRT</t>
        </is>
      </c>
      <c r="D39" s="10" t="inlineStr">
        <is>
          <t>Maior giro</t>
        </is>
      </c>
    </row>
    <row r="40">
      <c r="A40" s="10" t="inlineStr">
        <is>
          <t>Marinho</t>
        </is>
      </c>
      <c r="B40" s="10" t="inlineStr">
        <is>
          <t>MAR</t>
        </is>
      </c>
      <c r="C40" s="10" t="inlineStr">
        <is>
          <t>CHC-MRN</t>
        </is>
      </c>
      <c r="D40" s="10" t="inlineStr">
        <is>
          <t>2º maior giro</t>
        </is>
      </c>
    </row>
    <row r="41">
      <c r="A41" s="10" t="inlineStr">
        <is>
          <t>Verde Militar</t>
        </is>
      </c>
      <c r="B41" s="10" t="inlineStr">
        <is>
          <t>VML</t>
        </is>
      </c>
      <c r="C41" s="10" t="inlineStr">
        <is>
          <t>CHC-VML</t>
        </is>
      </c>
      <c r="D41" s="10" t="inlineStr"/>
    </row>
    <row r="42">
      <c r="A42" s="10" t="inlineStr">
        <is>
          <t>Azul Celeste</t>
        </is>
      </c>
      <c r="B42" s="10" t="inlineStr">
        <is>
          <t>AZC</t>
        </is>
      </c>
      <c r="C42" s="10" t="inlineStr">
        <is>
          <t>CHC-AZC</t>
        </is>
      </c>
      <c r="D42" s="10" t="inlineStr"/>
    </row>
    <row r="43">
      <c r="A43" s="10" t="inlineStr">
        <is>
          <t>Off White</t>
        </is>
      </c>
      <c r="B43" s="10" t="inlineStr">
        <is>
          <t>OFF</t>
        </is>
      </c>
      <c r="C43" s="10" t="inlineStr">
        <is>
          <t>CHC-OFW</t>
        </is>
      </c>
      <c r="D43" s="10" t="inlineStr">
        <is>
          <t>Cor das fotos</t>
        </is>
      </c>
    </row>
    <row r="44" ht="30" customHeight="1">
      <c r="A44" s="2" t="inlineStr">
        <is>
          <t>Pantone a partir de 100 pç/cor.</t>
        </is>
      </c>
    </row>
    <row r="46">
      <c r="A46" s="27" t="inlineStr">
        <is>
          <t>5. Personalização (preço sempre sob orçamento)</t>
        </is>
      </c>
      <c r="B46" s="28" t="n"/>
      <c r="C46" s="28" t="n"/>
      <c r="D46" s="28" t="n"/>
      <c r="E46" s="28" t="n"/>
      <c r="F46" s="28" t="n"/>
    </row>
    <row r="47">
      <c r="A47" s="9" t="inlineStr">
        <is>
          <t>Técnica</t>
        </is>
      </c>
      <c r="B47" s="9" t="inlineStr">
        <is>
          <t>Detalhe</t>
        </is>
      </c>
      <c r="C47" s="9" t="inlineStr">
        <is>
          <t>Mínimo</t>
        </is>
      </c>
    </row>
    <row r="48">
      <c r="A48" s="10" t="inlineStr">
        <is>
          <t>Silk base d'água / plastisol / gel / puff 3D / foil / silicone 3D</t>
        </is>
      </c>
      <c r="B48" s="10" t="inlineStr">
        <is>
          <t>6 técnicas</t>
        </is>
      </c>
      <c r="C48" s="10" t="inlineStr">
        <is>
          <t>20 pç</t>
        </is>
      </c>
    </row>
    <row r="49">
      <c r="A49" s="10" t="inlineStr">
        <is>
          <t>DTF</t>
        </is>
      </c>
      <c r="B49" s="10" t="inlineStr">
        <is>
          <t>Full color</t>
        </is>
      </c>
      <c r="C49" s="10" t="inlineStr">
        <is>
          <t>20 pç</t>
        </is>
      </c>
    </row>
    <row r="50">
      <c r="A50" s="10" t="inlineStr">
        <is>
          <t>Bordado</t>
        </is>
      </c>
      <c r="B50" s="10" t="inlineStr">
        <is>
          <t>📣 "até 15.000 pontos" — preferir ≤ 8.000 em 160g</t>
        </is>
      </c>
      <c r="C50" s="10" t="inlineStr">
        <is>
          <t>20 pç</t>
        </is>
      </c>
    </row>
    <row r="51">
      <c r="A51" s="10" t="inlineStr">
        <is>
          <t>Etiqueta private label</t>
        </is>
      </c>
      <c r="B51" s="10" t="inlineStr"/>
      <c r="C51" s="10" t="inlineStr">
        <is>
          <t>20 pç</t>
        </is>
      </c>
    </row>
    <row r="52">
      <c r="A52" s="10" t="inlineStr">
        <is>
          <t>Embalagem customizada</t>
        </is>
      </c>
      <c r="B52" s="10" t="inlineStr"/>
      <c r="C52" s="10" t="inlineStr">
        <is>
          <t>50 pç</t>
        </is>
      </c>
    </row>
    <row r="53">
      <c r="A53" s="10" t="inlineStr">
        <is>
          <t>Cor Pantone</t>
        </is>
      </c>
      <c r="B53" s="10" t="inlineStr"/>
      <c r="C53" s="10" t="inlineStr">
        <is>
          <t>100 pç/cor</t>
        </is>
      </c>
    </row>
    <row r="55">
      <c r="A55" s="27" t="inlineStr">
        <is>
          <t>6. Preços do fornecedor (desconto progressivo)</t>
        </is>
      </c>
      <c r="B55" s="28" t="n"/>
      <c r="C55" s="28" t="n"/>
      <c r="D55" s="28" t="n"/>
      <c r="E55" s="28" t="n"/>
      <c r="F55" s="28" t="n"/>
    </row>
    <row r="56">
      <c r="A56" s="24" t="inlineStr">
        <is>
          <t>Preço base (R$)</t>
        </is>
      </c>
      <c r="B56" s="31" t="n">
        <v>44.2</v>
      </c>
    </row>
    <row r="57">
      <c r="A57" s="17" t="inlineStr">
        <is>
          <t>Faixa</t>
        </is>
      </c>
      <c r="B57" s="17" t="inlineStr">
        <is>
          <t>Peças</t>
        </is>
      </c>
      <c r="C57" s="17" t="inlineStr">
        <is>
          <t>Desconto</t>
        </is>
      </c>
      <c r="D57" s="17" t="inlineStr">
        <is>
          <t>Preço unitário</t>
        </is>
      </c>
      <c r="E57" s="17" t="inlineStr">
        <is>
          <t>Preço + Pix</t>
        </is>
      </c>
    </row>
    <row r="58">
      <c r="A58" s="18" t="inlineStr">
        <is>
          <t>Faixa 1</t>
        </is>
      </c>
      <c r="B58" s="18" t="inlineStr">
        <is>
          <t>20–40</t>
        </is>
      </c>
      <c r="C58" s="32">
        <f>'Regras Fornecedor'!$D$4</f>
        <v/>
      </c>
      <c r="D58" s="33">
        <f>ROUND($B$56*(1-C58),2)</f>
        <v/>
      </c>
      <c r="E58" s="34">
        <f>ROUND(D58*(1-'Regras Fornecedor'!$B$10),2)</f>
        <v/>
      </c>
    </row>
    <row r="59">
      <c r="A59" s="18" t="inlineStr">
        <is>
          <t>Faixa 2</t>
        </is>
      </c>
      <c r="B59" s="18" t="inlineStr">
        <is>
          <t>40–80</t>
        </is>
      </c>
      <c r="C59" s="32">
        <f>'Regras Fornecedor'!$D$5</f>
        <v/>
      </c>
      <c r="D59" s="33">
        <f>ROUND($B$56*(1-C59),2)</f>
        <v/>
      </c>
      <c r="E59" s="34">
        <f>ROUND(D59*(1-'Regras Fornecedor'!$B$10),2)</f>
        <v/>
      </c>
    </row>
    <row r="60">
      <c r="A60" s="18" t="inlineStr">
        <is>
          <t>Faixa 3</t>
        </is>
      </c>
      <c r="B60" s="18" t="inlineStr">
        <is>
          <t>80–100</t>
        </is>
      </c>
      <c r="C60" s="32">
        <f>'Regras Fornecedor'!$D$6</f>
        <v/>
      </c>
      <c r="D60" s="33">
        <f>ROUND($B$56*(1-C60),2)</f>
        <v/>
      </c>
      <c r="E60" s="34">
        <f>ROUND(D60*(1-'Regras Fornecedor'!$B$10),2)</f>
        <v/>
      </c>
    </row>
    <row r="61">
      <c r="A61" s="18" t="inlineStr">
        <is>
          <t>Faixa 4</t>
        </is>
      </c>
      <c r="B61" s="18" t="inlineStr">
        <is>
          <t>100–300</t>
        </is>
      </c>
      <c r="C61" s="32">
        <f>'Regras Fornecedor'!$D$7</f>
        <v/>
      </c>
      <c r="D61" s="33">
        <f>ROUND($B$56*(1-C61),2)</f>
        <v/>
      </c>
      <c r="E61" s="34">
        <f>ROUND(D61*(1-'Regras Fornecedor'!$B$10),2)</f>
        <v/>
      </c>
    </row>
    <row r="62">
      <c r="A62" s="18" t="inlineStr">
        <is>
          <t>Faixa 5</t>
        </is>
      </c>
      <c r="B62" s="18" t="inlineStr">
        <is>
          <t>300–999</t>
        </is>
      </c>
      <c r="C62" s="32">
        <f>'Regras Fornecedor'!$D$8</f>
        <v/>
      </c>
      <c r="D62" s="33">
        <f>ROUND($B$56*(1-C62),2)</f>
        <v/>
      </c>
      <c r="E62" s="34">
        <f>ROUND(D62*(1-'Regras Fornecedor'!$B$10),2)</f>
        <v/>
      </c>
    </row>
    <row r="64">
      <c r="A64" s="27" t="inlineStr">
        <is>
          <t>7. Custo HMZT e margem (lote de 20 peças, Pix)</t>
        </is>
      </c>
      <c r="B64" s="28" t="n"/>
      <c r="C64" s="28" t="n"/>
      <c r="D64" s="28" t="n"/>
      <c r="E64" s="28" t="n"/>
      <c r="F64" s="28" t="n"/>
    </row>
    <row r="65">
      <c r="A65" s="24" t="inlineStr">
        <is>
          <t>Peça (20 pç, Pix)</t>
        </is>
      </c>
      <c r="B65" s="35">
        <f>E58</f>
        <v/>
      </c>
    </row>
    <row r="66">
      <c r="A66" s="24" t="inlineStr">
        <is>
          <t>Personalização + etiqueta + tag (R$/pç)</t>
        </is>
      </c>
      <c r="B66" s="36" t="n">
        <v>9</v>
      </c>
      <c r="C66" s="15" t="inlineStr">
        <is>
          <t>Estimativa HMZT — trocar pelo orçamento real</t>
        </is>
      </c>
    </row>
    <row r="67">
      <c r="A67" s="24" t="inlineStr">
        <is>
          <t>Frete rateado + embalagem (R$/pç)</t>
        </is>
      </c>
      <c r="B67" s="36" t="n">
        <v>4</v>
      </c>
      <c r="C67" s="15" t="inlineStr">
        <is>
          <t>Estimativa HMZT — trocar pelo orçamento real</t>
        </is>
      </c>
    </row>
    <row r="68">
      <c r="A68" s="24" t="inlineStr">
        <is>
          <t>Custo unitário estimado</t>
        </is>
      </c>
      <c r="B68" s="37">
        <f>SUM(B65:B67)</f>
        <v/>
      </c>
    </row>
    <row r="69">
      <c r="A69" s="24" t="inlineStr">
        <is>
          <t>Preço de venda HMZT (R$)</t>
        </is>
      </c>
      <c r="B69" s="36" t="n">
        <v>119</v>
      </c>
      <c r="C69" s="15" t="inlineStr">
        <is>
          <t>Sugestão do dossiê — ajustar</t>
        </is>
      </c>
    </row>
    <row r="70">
      <c r="A70" s="24" t="inlineStr">
        <is>
          <t>Impostos + gateway (% do preço)</t>
        </is>
      </c>
      <c r="B70" s="38" t="n">
        <v>0</v>
      </c>
      <c r="C70" s="15" t="inlineStr">
        <is>
          <t>A preencher (Simples + taxa Asaas)</t>
        </is>
      </c>
    </row>
    <row r="71">
      <c r="A71" s="24" t="inlineStr">
        <is>
          <t>Margem bruta (R$)</t>
        </is>
      </c>
      <c r="B71" s="35">
        <f>B69-B68</f>
        <v/>
      </c>
    </row>
    <row r="72">
      <c r="A72" s="24" t="inlineStr">
        <is>
          <t>Margem bruta (%)</t>
        </is>
      </c>
      <c r="B72" s="39">
        <f>IF(B69=0,0,(B69-B68)/B69)</f>
        <v/>
      </c>
    </row>
    <row r="73">
      <c r="A73" s="24" t="inlineStr">
        <is>
          <t>Margem após impostos/gateway (%)</t>
        </is>
      </c>
      <c r="B73" s="39">
        <f>IF(B69=0,0,(B69*(1-B70)-B68)/B69)</f>
        <v/>
      </c>
      <c r="C73" s="15" t="inlineStr">
        <is>
          <t>Ainda sem frete ao cliente e mídia</t>
        </is>
      </c>
    </row>
    <row r="75">
      <c r="A75" s="27" t="inlineStr">
        <is>
          <t>8. Contradições e erros ⚠️</t>
        </is>
      </c>
      <c r="B75" s="28" t="n"/>
      <c r="C75" s="28" t="n"/>
      <c r="D75" s="28" t="n"/>
      <c r="E75" s="28" t="n"/>
      <c r="F75" s="28" t="n"/>
    </row>
    <row r="76">
      <c r="A76" s="8" t="inlineStr">
        <is>
          <t>⚠️ 160g × 180g entre textos</t>
        </is>
      </c>
    </row>
    <row r="77">
      <c r="A77" s="8" t="inlineStr">
        <is>
          <t>⚠️ Fibra 28–30 mm × 28–32 mm (texto P07)</t>
        </is>
      </c>
    </row>
    <row r="78">
      <c r="A78" s="8" t="inlineStr">
        <is>
          <t>⚠️ "Rastreabilidade completa" confirma a origem Xinjiang</t>
        </is>
      </c>
    </row>
    <row r="79">
      <c r="A79" s="8" t="inlineStr">
        <is>
          <t>⚠️ Bordado 15.000 pontos em 160g é otimista</t>
        </is>
      </c>
    </row>
    <row r="81">
      <c r="A81" s="27" t="inlineStr">
        <is>
          <t>9. Comunicação HMZT</t>
        </is>
      </c>
      <c r="B81" s="28" t="n"/>
      <c r="C81" s="28" t="n"/>
      <c r="D81" s="28" t="n"/>
      <c r="E81" s="28" t="n"/>
      <c r="F81" s="28" t="n"/>
    </row>
    <row r="82">
      <c r="A82" s="24" t="inlineStr">
        <is>
          <t>✅ Pode usar</t>
        </is>
      </c>
      <c r="D82" s="24" t="inlineStr">
        <is>
          <t>📣 / ⛔ Não usar</t>
        </is>
      </c>
    </row>
    <row r="83">
      <c r="A83" s="40" t="inlineStr">
        <is>
          <t>Algodão de fibra longa, fio penteado</t>
        </is>
      </c>
      <c r="D83" s="8" t="inlineStr">
        <is>
          <t>Origem Xinjiang (NUNCA citar)</t>
        </is>
      </c>
    </row>
    <row r="84">
      <c r="A84" s="40" t="inlineStr">
        <is>
          <t>Pré-encolhida, anti-torção, tingimento reativo</t>
        </is>
      </c>
      <c r="D84" s="8" t="inlineStr">
        <is>
          <t>"Campeã de vendas", "maior recompra"</t>
        </is>
      </c>
    </row>
    <row r="85">
      <c r="A85" s="40" t="inlineStr">
        <is>
          <t>Fabricada em Santa Catarina</t>
        </is>
      </c>
      <c r="D85" s="8" t="inlineStr">
        <is>
          <t>"Amacia com as lavagens"</t>
        </is>
      </c>
    </row>
    <row r="87">
      <c r="A87" s="27" t="inlineStr">
        <is>
          <t>10. Pendências com o fornecedor</t>
        </is>
      </c>
      <c r="B87" s="28" t="n"/>
      <c r="C87" s="28" t="n"/>
      <c r="D87" s="28" t="n"/>
      <c r="E87" s="28" t="n"/>
      <c r="F87" s="28" t="n"/>
    </row>
    <row r="88">
      <c r="A88" s="9" t="inlineStr">
        <is>
          <t>Pendência</t>
        </is>
      </c>
      <c r="B88" s="9" t="inlineStr">
        <is>
          <t>Status</t>
        </is>
      </c>
      <c r="C88" s="9" t="inlineStr">
        <is>
          <t>Responsável</t>
        </is>
      </c>
      <c r="D88" s="9" t="inlineStr">
        <is>
          <t>Resposta</t>
        </is>
      </c>
    </row>
    <row r="89">
      <c r="A89" s="10" t="inlineStr">
        <is>
          <t>Gramatura real (160 × 180)</t>
        </is>
      </c>
      <c r="B89" s="11" t="inlineStr">
        <is>
          <t>Aberta</t>
        </is>
      </c>
      <c r="C89" s="11" t="inlineStr"/>
      <c r="D89" s="11" t="inlineStr"/>
    </row>
    <row r="90">
      <c r="A90" s="10" t="inlineStr">
        <is>
          <t>Orçamento de personalização</t>
        </is>
      </c>
      <c r="B90" s="11" t="inlineStr">
        <is>
          <t>Aberta</t>
        </is>
      </c>
      <c r="C90" s="11" t="inlineStr"/>
      <c r="D90" s="11" t="inlineStr"/>
    </row>
    <row r="91">
      <c r="A91" s="10" t="inlineStr">
        <is>
          <t>Documentação de origem</t>
        </is>
      </c>
      <c r="B91" s="11" t="inlineStr">
        <is>
          <t>Aberta</t>
        </is>
      </c>
      <c r="C91" s="11" t="inlineStr"/>
      <c r="D91" s="11" t="inlineStr"/>
    </row>
    <row r="92">
      <c r="A92" s="10" t="inlineStr">
        <is>
          <t>Comparar com Prime Cotton BCI</t>
        </is>
      </c>
      <c r="B92" s="11" t="inlineStr">
        <is>
          <t>Aberta</t>
        </is>
      </c>
      <c r="C92" s="11" t="inlineStr"/>
      <c r="D92" s="11" t="inlineStr"/>
    </row>
    <row r="94">
      <c r="A94" s="27" t="inlineStr">
        <is>
          <t>11. Fluxo de prompts de lookbook (docs/shop-confeccao/prompts/P06-prompts.md)</t>
        </is>
      </c>
      <c r="B94" s="28" t="n"/>
      <c r="C94" s="28" t="n"/>
      <c r="D94" s="28" t="n"/>
      <c r="E94" s="28" t="n"/>
      <c r="F94" s="28" t="n"/>
    </row>
    <row r="95">
      <c r="A95" s="9" t="inlineStr">
        <is>
          <t>Foto</t>
        </is>
      </c>
      <c r="B95" s="9" t="inlineStr">
        <is>
          <t>Origem no print</t>
        </is>
      </c>
      <c r="C95" s="9" t="inlineStr">
        <is>
          <t>Formato</t>
        </is>
      </c>
      <c r="D95" s="9" t="inlineStr">
        <is>
          <t>Status</t>
        </is>
      </c>
    </row>
    <row r="96">
      <c r="A96" s="10" t="inlineStr">
        <is>
          <t>F1 — Hero puxando a barra</t>
        </is>
      </c>
      <c r="B96" s="10" t="inlineStr">
        <is>
          <t>Foto principal e 1ª miniatura</t>
        </is>
      </c>
      <c r="C96" s="10" t="inlineStr">
        <is>
          <t>4:5</t>
        </is>
      </c>
      <c r="D96" s="11" t="inlineStr">
        <is>
          <t>A gerar</t>
        </is>
      </c>
    </row>
    <row r="97">
      <c r="A97" s="10" t="inlineStr">
        <is>
          <t>F2 — 3/4 mão no bolso, olhar lateral</t>
        </is>
      </c>
      <c r="B97" s="10" t="inlineStr">
        <is>
          <t>2ª foto e 2ª miniatura</t>
        </is>
      </c>
      <c r="C97" s="10" t="inlineStr">
        <is>
          <t>4:5</t>
        </is>
      </c>
      <c r="D97" s="11" t="inlineStr">
        <is>
          <t>A gerar</t>
        </is>
      </c>
    </row>
    <row r="98">
      <c r="A98" s="10" t="inlineStr">
        <is>
          <t>F3 — Detalhe gola e ombro</t>
        </is>
      </c>
      <c r="B98" s="10" t="inlineStr">
        <is>
          <t>3ª foto e 3ª miniatura</t>
        </is>
      </c>
      <c r="C98" s="10" t="inlineStr">
        <is>
          <t>4:5</t>
        </is>
      </c>
      <c r="D98" s="11" t="inlineStr">
        <is>
          <t>A gerar</t>
        </is>
      </c>
    </row>
    <row r="99">
      <c r="A99" s="10" t="inlineStr">
        <is>
          <t>F4 — Costas</t>
        </is>
      </c>
      <c r="B99" s="10" t="inlineStr">
        <is>
          <t>4ª miniatura</t>
        </is>
      </c>
      <c r="C99" s="10" t="inlineStr">
        <is>
          <t>4:5</t>
        </is>
      </c>
      <c r="D99" s="11" t="inlineStr">
        <is>
          <t>A gerar</t>
        </is>
      </c>
    </row>
  </sheetData>
  <mergeCells count="31">
    <mergeCell ref="B4:F4"/>
    <mergeCell ref="B7:F7"/>
    <mergeCell ref="A84:C84"/>
    <mergeCell ref="B15:E15"/>
    <mergeCell ref="B24:E24"/>
    <mergeCell ref="B20:E20"/>
    <mergeCell ref="A76:F76"/>
    <mergeCell ref="A85:C85"/>
    <mergeCell ref="B11:F11"/>
    <mergeCell ref="B16:E16"/>
    <mergeCell ref="B25:E25"/>
    <mergeCell ref="B8:F8"/>
    <mergeCell ref="D83:F83"/>
    <mergeCell ref="B22:E22"/>
    <mergeCell ref="B18:E18"/>
    <mergeCell ref="A44:F44"/>
    <mergeCell ref="B10:F10"/>
    <mergeCell ref="D85:F85"/>
    <mergeCell ref="B21:E21"/>
    <mergeCell ref="A34:F34"/>
    <mergeCell ref="A83:C83"/>
    <mergeCell ref="A77:F77"/>
    <mergeCell ref="B9:F9"/>
    <mergeCell ref="B17:E17"/>
    <mergeCell ref="B23:E23"/>
    <mergeCell ref="B6:F6"/>
    <mergeCell ref="D84:F84"/>
    <mergeCell ref="B5:F5"/>
    <mergeCell ref="A79:F79"/>
    <mergeCell ref="B19:E19"/>
    <mergeCell ref="A78:F7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P07 — Camiseta Cotton Peruano 220g com Elastano</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HMZT-P07-REG-PER220</t>
        </is>
      </c>
    </row>
    <row r="5">
      <c r="A5" s="24" t="inlineStr">
        <is>
          <t>Fornecedor</t>
        </is>
      </c>
      <c r="B5" s="2" t="inlineStr">
        <is>
          <t>Lunfe Malhas — fabricação própria, Itajaí-SC</t>
        </is>
      </c>
    </row>
    <row r="6">
      <c r="A6" s="24" t="inlineStr">
        <is>
          <t>Referência</t>
        </is>
      </c>
      <c r="B6" s="2" t="inlineStr">
        <is>
          <t>7892474270330 (EAN-13)</t>
        </is>
      </c>
    </row>
    <row r="7">
      <c r="A7" s="24" t="inlineStr">
        <is>
          <t>URL</t>
        </is>
      </c>
      <c r="B7" s="2" t="inlineStr">
        <is>
          <t>lunfemalhas.com.br/camiseta-cotton-peruano-220g-elastano-atacado-lunfe</t>
        </is>
      </c>
    </row>
    <row r="8">
      <c r="A8" s="24" t="inlineStr">
        <is>
          <t>Categoria no site</t>
        </is>
      </c>
      <c r="B8" s="2" t="inlineStr">
        <is>
          <t>Camisetas › Masculino › Premium</t>
        </is>
      </c>
    </row>
    <row r="9">
      <c r="A9" s="24" t="inlineStr">
        <is>
          <t>Linha HMZT recomendada</t>
        </is>
      </c>
      <c r="B9" s="2" t="inlineStr">
        <is>
          <t>Premium (alternativa)</t>
        </is>
      </c>
    </row>
    <row r="10">
      <c r="A10" s="24" t="inlineStr">
        <is>
          <t>Estoque</t>
        </is>
      </c>
      <c r="B10" s="8" t="inlineStr">
        <is>
          <t>🔴 Página: "Esse acabou" × texto: 6 cores em estoque</t>
        </is>
      </c>
    </row>
    <row r="11">
      <c r="A11" s="24" t="inlineStr">
        <is>
          <t>Descritor canônico (IA)</t>
        </is>
      </c>
      <c r="B11" s="2" t="inlineStr">
        <is>
          <t>Camiseta masculina regular fit, gola careca de ribana fina, jersey de algodão com leve brilho acetinado que acompanha o corpo.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96% algodão peruano (G. barbadense) + 4% elastano</t>
        </is>
      </c>
      <c r="C15" s="29" t="n"/>
      <c r="D15" s="29" t="n"/>
      <c r="E15" s="30" t="n"/>
    </row>
    <row r="16">
      <c r="A16" s="10" t="inlineStr">
        <is>
          <t>Fibra</t>
        </is>
      </c>
      <c r="B16" s="10" t="inlineStr">
        <is>
          <t>Extra-longa, staple &gt; 34 mm (Pima peruano ou Tangüis?)</t>
        </is>
      </c>
      <c r="C16" s="29" t="n"/>
      <c r="D16" s="29" t="n"/>
      <c r="E16" s="30" t="n"/>
    </row>
    <row r="17">
      <c r="A17" s="10" t="inlineStr">
        <is>
          <t>Construção</t>
        </is>
      </c>
      <c r="B17" s="10" t="inlineStr">
        <is>
          <t>Jersey 30/1</t>
        </is>
      </c>
      <c r="C17" s="29" t="n"/>
      <c r="D17" s="29" t="n"/>
      <c r="E17" s="30" t="n"/>
    </row>
    <row r="18">
      <c r="A18" s="10" t="inlineStr">
        <is>
          <t>Gramatura</t>
        </is>
      </c>
      <c r="B18" s="10" t="inlineStr">
        <is>
          <t>220 g/m²</t>
        </is>
      </c>
      <c r="C18" s="29" t="n"/>
      <c r="D18" s="29" t="n"/>
      <c r="E18" s="30" t="n"/>
    </row>
    <row r="19">
      <c r="A19" s="10" t="inlineStr">
        <is>
          <t>Modelagem</t>
        </is>
      </c>
      <c r="B19" s="10" t="inlineStr">
        <is>
          <t>Regular fit</t>
        </is>
      </c>
      <c r="C19" s="29" t="n"/>
      <c r="D19" s="29" t="n"/>
      <c r="E19" s="30" t="n"/>
    </row>
    <row r="20">
      <c r="A20" s="10" t="inlineStr">
        <is>
          <t>Gola</t>
        </is>
      </c>
      <c r="B20" s="10" t="inlineStr">
        <is>
          <t>Careca, ribana reforçada</t>
        </is>
      </c>
      <c r="C20" s="29" t="n"/>
      <c r="D20" s="29" t="n"/>
      <c r="E20" s="30" t="n"/>
    </row>
    <row r="21">
      <c r="A21" s="10" t="inlineStr">
        <is>
          <t>Mangas</t>
        </is>
      </c>
      <c r="B21" s="10" t="inlineStr">
        <is>
          <t>Curtas, barra dupla</t>
        </is>
      </c>
      <c r="C21" s="29" t="n"/>
      <c r="D21" s="29" t="n"/>
      <c r="E21" s="30" t="n"/>
    </row>
    <row r="22">
      <c r="A22" s="10" t="inlineStr">
        <is>
          <t>Barra</t>
        </is>
      </c>
      <c r="B22" s="10" t="inlineStr">
        <is>
          <t>Dupla, acabamento invisível</t>
        </is>
      </c>
      <c r="C22" s="29" t="n"/>
      <c r="D22" s="29" t="n"/>
      <c r="E22" s="30" t="n"/>
    </row>
    <row r="23">
      <c r="A23" s="10" t="inlineStr">
        <is>
          <t>Costuras</t>
        </is>
      </c>
      <c r="B23" s="10" t="inlineStr">
        <is>
          <t>Reforçadas; ombro a ombro com fita</t>
        </is>
      </c>
      <c r="C23" s="29" t="n"/>
      <c r="D23" s="29" t="n"/>
      <c r="E23" s="30" t="n"/>
    </row>
    <row r="24">
      <c r="A24" s="10" t="inlineStr">
        <is>
          <t>Tratamentos</t>
        </is>
      </c>
      <c r="B24" s="10" t="inlineStr">
        <is>
          <t>Pré-encolhimento; fixação de cor de alta solidez</t>
        </is>
      </c>
      <c r="C24" s="29" t="n"/>
      <c r="D24" s="29" t="n"/>
      <c r="E24" s="30" t="n"/>
    </row>
    <row r="25">
      <c r="A25" s="10" t="inlineStr">
        <is>
          <t>Elastano</t>
        </is>
      </c>
      <c r="B25" s="10" t="inlineStr">
        <is>
          <t>Memória de forma, caimento, menos rugas</t>
        </is>
      </c>
      <c r="C25" s="29" t="n"/>
      <c r="D25" s="29" t="n"/>
      <c r="E25" s="30" t="n"/>
    </row>
    <row r="26">
      <c r="A26" s="10" t="inlineStr">
        <is>
          <t>Opacidade</t>
        </is>
      </c>
      <c r="B26" s="10" t="inlineStr">
        <is>
          <t>Opaca em todas as cores</t>
        </is>
      </c>
      <c r="C26" s="29" t="n"/>
      <c r="D26" s="29" t="n"/>
      <c r="E26" s="30" t="n"/>
    </row>
    <row r="28">
      <c r="A28" s="27" t="inlineStr">
        <is>
          <t>3. Tabela de medidas (cm)</t>
        </is>
      </c>
      <c r="B28" s="28" t="n"/>
      <c r="C28" s="28" t="n"/>
      <c r="D28" s="28" t="n"/>
      <c r="E28" s="28" t="n"/>
      <c r="F28" s="28" t="n"/>
    </row>
    <row r="29">
      <c r="A29" s="9" t="inlineStr">
        <is>
          <t>Tamanho</t>
        </is>
      </c>
      <c r="B29" s="9" t="inlineStr">
        <is>
          <t>Comprimento</t>
        </is>
      </c>
      <c r="C29" s="9" t="inlineStr">
        <is>
          <t>Largura</t>
        </is>
      </c>
      <c r="D29" s="9" t="inlineStr">
        <is>
          <t>Ombros</t>
        </is>
      </c>
      <c r="E29" s="9" t="inlineStr">
        <is>
          <t>Mangas</t>
        </is>
      </c>
    </row>
    <row r="30">
      <c r="A30" s="10" t="inlineStr">
        <is>
          <t>P</t>
        </is>
      </c>
      <c r="B30" s="11" t="n">
        <v>70</v>
      </c>
      <c r="C30" s="11" t="n">
        <v>52</v>
      </c>
      <c r="D30" s="11" t="n">
        <v>44</v>
      </c>
      <c r="E30" s="11" t="n">
        <v>16</v>
      </c>
    </row>
    <row r="31">
      <c r="A31" s="10" t="inlineStr">
        <is>
          <t>M</t>
        </is>
      </c>
      <c r="B31" s="11" t="n">
        <v>72</v>
      </c>
      <c r="C31" s="11" t="n">
        <v>54</v>
      </c>
      <c r="D31" s="11" t="n">
        <v>46</v>
      </c>
      <c r="E31" s="11" t="n">
        <v>18</v>
      </c>
    </row>
    <row r="32">
      <c r="A32" s="10" t="inlineStr">
        <is>
          <t>G</t>
        </is>
      </c>
      <c r="B32" s="11" t="n">
        <v>74</v>
      </c>
      <c r="C32" s="11" t="n">
        <v>56</v>
      </c>
      <c r="D32" s="11" t="n">
        <v>48</v>
      </c>
      <c r="E32" s="11" t="n">
        <v>20</v>
      </c>
    </row>
    <row r="33">
      <c r="A33" s="10" t="inlineStr">
        <is>
          <t>GG</t>
        </is>
      </c>
      <c r="B33" s="11" t="n">
        <v>76</v>
      </c>
      <c r="C33" s="11" t="n">
        <v>58</v>
      </c>
      <c r="D33" s="11" t="n">
        <v>50</v>
      </c>
      <c r="E33" s="11" t="n">
        <v>22</v>
      </c>
    </row>
    <row r="34">
      <c r="A34" s="10" t="inlineStr">
        <is>
          <t>EG</t>
        </is>
      </c>
      <c r="B34" s="11" t="n">
        <v>78</v>
      </c>
      <c r="C34" s="11" t="n">
        <v>60</v>
      </c>
      <c r="D34" s="11" t="n">
        <v>52</v>
      </c>
      <c r="E34" s="11" t="n">
        <v>24</v>
      </c>
    </row>
    <row r="35" ht="30" customHeight="1">
      <c r="A35" s="2" t="inlineStr">
        <is>
          <t>Em cm, em repouso, ± 2 cm.</t>
        </is>
      </c>
    </row>
    <row r="36">
      <c r="A36" s="15" t="inlineStr">
        <is>
          <t>Modelo das fotos: 1,84 m · 84 kg · veste M</t>
        </is>
      </c>
    </row>
    <row r="38">
      <c r="A38" s="27" t="inlineStr">
        <is>
          <t>4. Cores disponíveis</t>
        </is>
      </c>
      <c r="B38" s="28" t="n"/>
      <c r="C38" s="28" t="n"/>
      <c r="D38" s="28" t="n"/>
      <c r="E38" s="28" t="n"/>
      <c r="F38" s="28" t="n"/>
    </row>
    <row r="39">
      <c r="A39" s="9" t="inlineStr">
        <is>
          <t>Cor</t>
        </is>
      </c>
      <c r="B39" s="9" t="inlineStr">
        <is>
          <t>Código HMZT</t>
        </is>
      </c>
      <c r="C39" s="9" t="inlineStr">
        <is>
          <t>Ref. fornecedor</t>
        </is>
      </c>
      <c r="D39" s="9" t="inlineStr">
        <is>
          <t>Observação</t>
        </is>
      </c>
    </row>
    <row r="40">
      <c r="A40" s="10" t="inlineStr">
        <is>
          <t>Preto</t>
        </is>
      </c>
      <c r="B40" s="10" t="inlineStr">
        <is>
          <t>PRT</t>
        </is>
      </c>
      <c r="C40" s="10" t="inlineStr">
        <is>
          <t>CPR-PRT</t>
        </is>
      </c>
      <c r="D40" s="10" t="inlineStr">
        <is>
          <t>Cor das fotos</t>
        </is>
      </c>
    </row>
    <row r="41">
      <c r="A41" s="10" t="inlineStr">
        <is>
          <t>Off White</t>
        </is>
      </c>
      <c r="B41" s="10" t="inlineStr">
        <is>
          <t>OFF</t>
        </is>
      </c>
      <c r="C41" s="10" t="inlineStr">
        <is>
          <t>CPR-OFW</t>
        </is>
      </c>
      <c r="D41" s="10" t="inlineStr"/>
    </row>
    <row r="42">
      <c r="A42" s="10" t="inlineStr">
        <is>
          <t>Bege</t>
        </is>
      </c>
      <c r="B42" s="10" t="inlineStr">
        <is>
          <t>BGE</t>
        </is>
      </c>
      <c r="C42" s="10" t="inlineStr">
        <is>
          <t>CPR-BGE</t>
        </is>
      </c>
      <c r="D42" s="10" t="inlineStr">
        <is>
          <t>Provável nude da 5ª foto</t>
        </is>
      </c>
    </row>
    <row r="43">
      <c r="A43" s="10" t="inlineStr">
        <is>
          <t>Marinho</t>
        </is>
      </c>
      <c r="B43" s="10" t="inlineStr">
        <is>
          <t>MAR</t>
        </is>
      </c>
      <c r="C43" s="10" t="inlineStr">
        <is>
          <t>CPR-MRN</t>
        </is>
      </c>
      <c r="D43" s="10" t="inlineStr"/>
    </row>
    <row r="44">
      <c r="A44" s="10" t="inlineStr">
        <is>
          <t>Bordô</t>
        </is>
      </c>
      <c r="B44" s="10" t="inlineStr">
        <is>
          <t>BDO</t>
        </is>
      </c>
      <c r="C44" s="10" t="inlineStr">
        <is>
          <t>CPR-BDO</t>
        </is>
      </c>
      <c r="D44" s="10" t="inlineStr"/>
    </row>
    <row r="45">
      <c r="A45" s="10" t="inlineStr">
        <is>
          <t>Verde Militar</t>
        </is>
      </c>
      <c r="B45" s="10" t="inlineStr">
        <is>
          <t>VML</t>
        </is>
      </c>
      <c r="C45" s="10" t="inlineStr">
        <is>
          <t>CPR-VML</t>
        </is>
      </c>
      <c r="D45" s="10" t="inlineStr"/>
    </row>
    <row r="46" ht="30" customHeight="1">
      <c r="A46" s="2" t="inlineStr">
        <is>
          <t>Pantone a partir de 100 pç/cor, 15–25 dias úteis.</t>
        </is>
      </c>
    </row>
    <row r="48">
      <c r="A48" s="27" t="inlineStr">
        <is>
          <t>5. Personalização (preço sempre sob orçamento)</t>
        </is>
      </c>
      <c r="B48" s="28" t="n"/>
      <c r="C48" s="28" t="n"/>
      <c r="D48" s="28" t="n"/>
      <c r="E48" s="28" t="n"/>
      <c r="F48" s="28" t="n"/>
    </row>
    <row r="49">
      <c r="A49" s="9" t="inlineStr">
        <is>
          <t>Técnica</t>
        </is>
      </c>
      <c r="B49" s="9" t="inlineStr">
        <is>
          <t>Detalhe</t>
        </is>
      </c>
      <c r="C49" s="9" t="inlineStr">
        <is>
          <t>Mínimo</t>
        </is>
      </c>
    </row>
    <row r="50">
      <c r="A50" s="10" t="inlineStr">
        <is>
          <t>Silk base d'água</t>
        </is>
      </c>
      <c r="B50" s="10" t="inlineStr">
        <is>
          <t>Toque zero</t>
        </is>
      </c>
      <c r="C50" s="10" t="inlineStr">
        <is>
          <t>20 pç</t>
        </is>
      </c>
    </row>
    <row r="51">
      <c r="A51" s="10" t="inlineStr">
        <is>
          <t>DTF</t>
        </is>
      </c>
      <c r="B51" s="10" t="inlineStr">
        <is>
          <t>Full color</t>
        </is>
      </c>
      <c r="C51" s="10" t="inlineStr">
        <is>
          <t>20 pç</t>
        </is>
      </c>
    </row>
    <row r="52">
      <c r="A52" s="10" t="inlineStr">
        <is>
          <t>Bordado</t>
        </is>
      </c>
      <c r="B52" s="10" t="inlineStr">
        <is>
          <t>Peito, mangas</t>
        </is>
      </c>
      <c r="C52" s="10" t="inlineStr">
        <is>
          <t>20 pç</t>
        </is>
      </c>
    </row>
    <row r="53">
      <c r="A53" s="10" t="inlineStr">
        <is>
          <t>Sublimação</t>
        </is>
      </c>
      <c r="B53" s="14" t="inlineStr">
        <is>
          <t>⚠️ Não funciona com 96% algodão — não usar</t>
        </is>
      </c>
      <c r="C53" s="10" t="inlineStr">
        <is>
          <t>20 pç</t>
        </is>
      </c>
    </row>
    <row r="54">
      <c r="A54" s="10" t="inlineStr">
        <is>
          <t>Etiqueta private label</t>
        </is>
      </c>
      <c r="B54" s="10" t="inlineStr">
        <is>
          <t>Interna + tag</t>
        </is>
      </c>
      <c r="C54" s="10" t="inlineStr">
        <is>
          <t>20 pç</t>
        </is>
      </c>
    </row>
    <row r="55">
      <c r="A55" s="10" t="inlineStr">
        <is>
          <t>Embalagem customizada</t>
        </is>
      </c>
      <c r="B55" s="10" t="inlineStr"/>
      <c r="C55" s="10" t="inlineStr">
        <is>
          <t>50 pç</t>
        </is>
      </c>
    </row>
    <row r="56">
      <c r="A56" s="10" t="inlineStr">
        <is>
          <t>Cor Pantone</t>
        </is>
      </c>
      <c r="B56" s="10" t="inlineStr"/>
      <c r="C56" s="10" t="inlineStr">
        <is>
          <t>100 pç/cor</t>
        </is>
      </c>
    </row>
    <row r="58">
      <c r="A58" s="27" t="inlineStr">
        <is>
          <t>6. Preços do fornecedor (desconto progressivo)</t>
        </is>
      </c>
      <c r="B58" s="28" t="n"/>
      <c r="C58" s="28" t="n"/>
      <c r="D58" s="28" t="n"/>
      <c r="E58" s="28" t="n"/>
      <c r="F58" s="28" t="n"/>
    </row>
    <row r="59">
      <c r="A59" s="24" t="inlineStr">
        <is>
          <t>Preço base (R$)</t>
        </is>
      </c>
      <c r="B59" s="31" t="n">
        <v>55</v>
      </c>
    </row>
    <row r="60">
      <c r="A60" s="17" t="inlineStr">
        <is>
          <t>Faixa</t>
        </is>
      </c>
      <c r="B60" s="17" t="inlineStr">
        <is>
          <t>Peças</t>
        </is>
      </c>
      <c r="C60" s="17" t="inlineStr">
        <is>
          <t>Desconto</t>
        </is>
      </c>
      <c r="D60" s="17" t="inlineStr">
        <is>
          <t>Preço unitário</t>
        </is>
      </c>
      <c r="E60" s="17" t="inlineStr">
        <is>
          <t>Preço + Pix</t>
        </is>
      </c>
    </row>
    <row r="61">
      <c r="A61" s="18" t="inlineStr">
        <is>
          <t>Faixa 1</t>
        </is>
      </c>
      <c r="B61" s="18" t="inlineStr">
        <is>
          <t>20–40</t>
        </is>
      </c>
      <c r="C61" s="32">
        <f>'Regras Fornecedor'!$D$4</f>
        <v/>
      </c>
      <c r="D61" s="33">
        <f>ROUND($B$59*(1-C61),2)</f>
        <v/>
      </c>
      <c r="E61" s="34">
        <f>ROUND(D61*(1-'Regras Fornecedor'!$B$10),2)</f>
        <v/>
      </c>
    </row>
    <row r="62">
      <c r="A62" s="18" t="inlineStr">
        <is>
          <t>Faixa 2</t>
        </is>
      </c>
      <c r="B62" s="18" t="inlineStr">
        <is>
          <t>40–80</t>
        </is>
      </c>
      <c r="C62" s="32">
        <f>'Regras Fornecedor'!$D$5</f>
        <v/>
      </c>
      <c r="D62" s="33">
        <f>ROUND($B$59*(1-C62),2)</f>
        <v/>
      </c>
      <c r="E62" s="34">
        <f>ROUND(D62*(1-'Regras Fornecedor'!$B$10),2)</f>
        <v/>
      </c>
    </row>
    <row r="63">
      <c r="A63" s="18" t="inlineStr">
        <is>
          <t>Faixa 3</t>
        </is>
      </c>
      <c r="B63" s="18" t="inlineStr">
        <is>
          <t>80–100</t>
        </is>
      </c>
      <c r="C63" s="32">
        <f>'Regras Fornecedor'!$D$6</f>
        <v/>
      </c>
      <c r="D63" s="33">
        <f>ROUND($B$59*(1-C63),2)</f>
        <v/>
      </c>
      <c r="E63" s="34">
        <f>ROUND(D63*(1-'Regras Fornecedor'!$B$10),2)</f>
        <v/>
      </c>
    </row>
    <row r="64">
      <c r="A64" s="18" t="inlineStr">
        <is>
          <t>Faixa 4</t>
        </is>
      </c>
      <c r="B64" s="18" t="inlineStr">
        <is>
          <t>100–300</t>
        </is>
      </c>
      <c r="C64" s="32">
        <f>'Regras Fornecedor'!$D$7</f>
        <v/>
      </c>
      <c r="D64" s="33">
        <f>ROUND($B$59*(1-C64),2)</f>
        <v/>
      </c>
      <c r="E64" s="34">
        <f>ROUND(D64*(1-'Regras Fornecedor'!$B$10),2)</f>
        <v/>
      </c>
    </row>
    <row r="65">
      <c r="A65" s="18" t="inlineStr">
        <is>
          <t>Faixa 5</t>
        </is>
      </c>
      <c r="B65" s="18" t="inlineStr">
        <is>
          <t>300–999</t>
        </is>
      </c>
      <c r="C65" s="32">
        <f>'Regras Fornecedor'!$D$8</f>
        <v/>
      </c>
      <c r="D65" s="33">
        <f>ROUND($B$59*(1-C65),2)</f>
        <v/>
      </c>
      <c r="E65" s="34">
        <f>ROUND(D65*(1-'Regras Fornecedor'!$B$10),2)</f>
        <v/>
      </c>
    </row>
    <row r="67">
      <c r="A67" s="27" t="inlineStr">
        <is>
          <t>7. Custo HMZT e margem (lote de 20 peças, Pix)</t>
        </is>
      </c>
      <c r="B67" s="28" t="n"/>
      <c r="C67" s="28" t="n"/>
      <c r="D67" s="28" t="n"/>
      <c r="E67" s="28" t="n"/>
      <c r="F67" s="28" t="n"/>
    </row>
    <row r="68">
      <c r="A68" s="24" t="inlineStr">
        <is>
          <t>Peça (20 pç, Pix)</t>
        </is>
      </c>
      <c r="B68" s="35">
        <f>E61</f>
        <v/>
      </c>
    </row>
    <row r="69">
      <c r="A69" s="24" t="inlineStr">
        <is>
          <t>Personalização + etiqueta + tag (R$/pç)</t>
        </is>
      </c>
      <c r="B69" s="36" t="n">
        <v>11.5</v>
      </c>
      <c r="C69" s="15" t="inlineStr">
        <is>
          <t>Estimativa HMZT — trocar pelo orçamento real</t>
        </is>
      </c>
    </row>
    <row r="70">
      <c r="A70" s="24" t="inlineStr">
        <is>
          <t>Frete rateado + embalagem (R$/pç)</t>
        </is>
      </c>
      <c r="B70" s="36" t="n">
        <v>6</v>
      </c>
      <c r="C70" s="15" t="inlineStr">
        <is>
          <t>Estimativa HMZT — trocar pelo orçamento real</t>
        </is>
      </c>
    </row>
    <row r="71">
      <c r="A71" s="24" t="inlineStr">
        <is>
          <t>Custo unitário estimado</t>
        </is>
      </c>
      <c r="B71" s="37">
        <f>SUM(B68:B70)</f>
        <v/>
      </c>
    </row>
    <row r="72">
      <c r="A72" s="24" t="inlineStr">
        <is>
          <t>Preço de venda HMZT (R$)</t>
        </is>
      </c>
      <c r="B72" s="36" t="n">
        <v>149</v>
      </c>
      <c r="C72" s="15" t="inlineStr">
        <is>
          <t>Sugestão do dossiê — ajustar</t>
        </is>
      </c>
    </row>
    <row r="73">
      <c r="A73" s="24" t="inlineStr">
        <is>
          <t>Impostos + gateway (% do preço)</t>
        </is>
      </c>
      <c r="B73" s="38" t="n">
        <v>0</v>
      </c>
      <c r="C73" s="15" t="inlineStr">
        <is>
          <t>A preencher (Simples + taxa Asaas)</t>
        </is>
      </c>
    </row>
    <row r="74">
      <c r="A74" s="24" t="inlineStr">
        <is>
          <t>Margem bruta (R$)</t>
        </is>
      </c>
      <c r="B74" s="35">
        <f>B72-B71</f>
        <v/>
      </c>
    </row>
    <row r="75">
      <c r="A75" s="24" t="inlineStr">
        <is>
          <t>Margem bruta (%)</t>
        </is>
      </c>
      <c r="B75" s="39">
        <f>IF(B72=0,0,(B72-B71)/B72)</f>
        <v/>
      </c>
    </row>
    <row r="76">
      <c r="A76" s="24" t="inlineStr">
        <is>
          <t>Margem após impostos/gateway (%)</t>
        </is>
      </c>
      <c r="B76" s="39">
        <f>IF(B72=0,0,(B72*(1-B73)-B71)/B72)</f>
        <v/>
      </c>
      <c r="C76" s="15" t="inlineStr">
        <is>
          <t>Ainda sem frete ao cliente e mídia</t>
        </is>
      </c>
    </row>
    <row r="78">
      <c r="A78" s="27" t="inlineStr">
        <is>
          <t>8. Contradições e erros ⚠️</t>
        </is>
      </c>
      <c r="B78" s="28" t="n"/>
      <c r="C78" s="28" t="n"/>
      <c r="D78" s="28" t="n"/>
      <c r="E78" s="28" t="n"/>
      <c r="F78" s="28" t="n"/>
    </row>
    <row r="79">
      <c r="A79" s="8" t="inlineStr">
        <is>
          <t>⚠️ Esgotado na página × em estoque no texto</t>
        </is>
      </c>
    </row>
    <row r="80">
      <c r="A80" s="8" t="inlineStr">
        <is>
          <t>⚠️ 6× com juros (página) × sem juros (texto)</t>
        </is>
      </c>
    </row>
    <row r="81">
      <c r="A81" s="8" t="inlineStr">
        <is>
          <t>⚠️ "30/1s mais grosso que 30/1" — mesmo fio</t>
        </is>
      </c>
    </row>
    <row r="82">
      <c r="A82" s="8" t="inlineStr">
        <is>
          <t>⚠️ Sublimação oferecida em algodão</t>
        </is>
      </c>
    </row>
    <row r="83">
      <c r="A83" s="8" t="inlineStr">
        <is>
          <t>⚠️ Cores das fotos × lista</t>
        </is>
      </c>
    </row>
    <row r="85">
      <c r="A85" s="27" t="inlineStr">
        <is>
          <t>9. Comunicação HMZT</t>
        </is>
      </c>
      <c r="B85" s="28" t="n"/>
      <c r="C85" s="28" t="n"/>
      <c r="D85" s="28" t="n"/>
      <c r="E85" s="28" t="n"/>
      <c r="F85" s="28" t="n"/>
    </row>
    <row r="86">
      <c r="A86" s="24" t="inlineStr">
        <is>
          <t>✅ Pode usar</t>
        </is>
      </c>
      <c r="D86" s="24" t="inlineStr">
        <is>
          <t>📣 / ⛔ Não usar</t>
        </is>
      </c>
    </row>
    <row r="87">
      <c r="A87" s="40" t="inlineStr">
        <is>
          <t>Algodão peruano de fibra extra-longa — só com a variedade confirmada</t>
        </is>
      </c>
      <c r="D87" s="8" t="inlineStr">
        <is>
          <t>"Migração irreversível", recompra, LTV 3–5×</t>
        </is>
      </c>
    </row>
    <row r="88">
      <c r="A88" s="40" t="inlineStr">
        <is>
          <t>96% algodão, 4% elastano: volta à forma</t>
        </is>
      </c>
      <c r="D88" s="8" t="inlineStr">
        <is>
          <t>"Camiseta de R$ 150"</t>
        </is>
      </c>
    </row>
    <row r="89">
      <c r="A89" s="40" t="inlineStr">
        <is>
          <t>220 g/m², opaca, pré-encolhida</t>
        </is>
      </c>
      <c r="D89" s="8" t="inlineStr">
        <is>
          <t>"Aristocracia do algodão"</t>
        </is>
      </c>
    </row>
    <row r="91">
      <c r="A91" s="27" t="inlineStr">
        <is>
          <t>10. Pendências com o fornecedor</t>
        </is>
      </c>
      <c r="B91" s="28" t="n"/>
      <c r="C91" s="28" t="n"/>
      <c r="D91" s="28" t="n"/>
      <c r="E91" s="28" t="n"/>
      <c r="F91" s="28" t="n"/>
    </row>
    <row r="92">
      <c r="A92" s="9" t="inlineStr">
        <is>
          <t>Pendência</t>
        </is>
      </c>
      <c r="B92" s="9" t="inlineStr">
        <is>
          <t>Status</t>
        </is>
      </c>
      <c r="C92" s="9" t="inlineStr">
        <is>
          <t>Responsável</t>
        </is>
      </c>
      <c r="D92" s="9" t="inlineStr">
        <is>
          <t>Resposta</t>
        </is>
      </c>
    </row>
    <row r="93">
      <c r="A93" s="10" t="inlineStr">
        <is>
          <t>Variedade: Pima peruano ou Tangüis?</t>
        </is>
      </c>
      <c r="B93" s="11" t="inlineStr">
        <is>
          <t>Aberta</t>
        </is>
      </c>
      <c r="C93" s="11" t="inlineStr"/>
      <c r="D93" s="11" t="inlineStr"/>
    </row>
    <row r="94">
      <c r="A94" s="10" t="inlineStr">
        <is>
          <t>Reposição</t>
        </is>
      </c>
      <c r="B94" s="11" t="inlineStr">
        <is>
          <t>Aberta</t>
        </is>
      </c>
      <c r="C94" s="11" t="inlineStr"/>
      <c r="D94" s="11" t="inlineStr"/>
    </row>
    <row r="95">
      <c r="A95" s="10" t="inlineStr">
        <is>
          <t>Juros no cartão</t>
        </is>
      </c>
      <c r="B95" s="11" t="inlineStr">
        <is>
          <t>Aberta</t>
        </is>
      </c>
      <c r="C95" s="11" t="inlineStr"/>
      <c r="D95" s="11" t="inlineStr"/>
    </row>
    <row r="96">
      <c r="A96" s="10" t="inlineStr">
        <is>
          <t>Orçamento bordado + etiqueta</t>
        </is>
      </c>
      <c r="B96" s="11" t="inlineStr">
        <is>
          <t>Aberta</t>
        </is>
      </c>
      <c r="C96" s="11" t="inlineStr"/>
      <c r="D96" s="11" t="inlineStr"/>
    </row>
    <row r="97">
      <c r="A97" s="10" t="inlineStr">
        <is>
          <t>Frete Itajaí → SP</t>
        </is>
      </c>
      <c r="B97" s="11" t="inlineStr">
        <is>
          <t>Aberta</t>
        </is>
      </c>
      <c r="C97" s="11" t="inlineStr"/>
      <c r="D97" s="11" t="inlineStr"/>
    </row>
    <row r="99">
      <c r="A99" s="27" t="inlineStr">
        <is>
          <t>11. Fluxo de prompts de lookbook (docs/shop-confeccao/prompts/P07-prompts.md)</t>
        </is>
      </c>
      <c r="B99" s="28" t="n"/>
      <c r="C99" s="28" t="n"/>
      <c r="D99" s="28" t="n"/>
      <c r="E99" s="28" t="n"/>
      <c r="F99" s="28" t="n"/>
    </row>
    <row r="100">
      <c r="A100" s="9" t="inlineStr">
        <is>
          <t>Foto</t>
        </is>
      </c>
      <c r="B100" s="9" t="inlineStr">
        <is>
          <t>Origem no print</t>
        </is>
      </c>
      <c r="C100" s="9" t="inlineStr">
        <is>
          <t>Formato</t>
        </is>
      </c>
      <c r="D100" s="9" t="inlineStr">
        <is>
          <t>Status</t>
        </is>
      </c>
    </row>
    <row r="101">
      <c r="A101" s="10" t="inlineStr">
        <is>
          <t>F1 — Hero 3/4</t>
        </is>
      </c>
      <c r="B101" s="10" t="inlineStr">
        <is>
          <t>Foto principal e 1ª miniatura</t>
        </is>
      </c>
      <c r="C101" s="10" t="inlineStr">
        <is>
          <t>4:5</t>
        </is>
      </c>
      <c r="D101" s="11" t="inlineStr">
        <is>
          <t>A gerar</t>
        </is>
      </c>
    </row>
    <row r="102">
      <c r="A102" s="10" t="inlineStr">
        <is>
          <t>F2 — Detalhe gola e manga</t>
        </is>
      </c>
      <c r="B102" s="10" t="inlineStr">
        <is>
          <t>2ª foto e 2ª miniatura</t>
        </is>
      </c>
      <c r="C102" s="10" t="inlineStr">
        <is>
          <t>4:5</t>
        </is>
      </c>
      <c r="D102" s="11" t="inlineStr">
        <is>
          <t>A gerar</t>
        </is>
      </c>
    </row>
    <row r="103">
      <c r="A103" s="10" t="inlineStr">
        <is>
          <t>F3 — Frontal leve 3/4</t>
        </is>
      </c>
      <c r="B103" s="10" t="inlineStr">
        <is>
          <t>3ª foto e 3ª miniatura</t>
        </is>
      </c>
      <c r="C103" s="10" t="inlineStr">
        <is>
          <t>4:5</t>
        </is>
      </c>
      <c r="D103" s="11" t="inlineStr">
        <is>
          <t>A gerar</t>
        </is>
      </c>
    </row>
    <row r="104">
      <c r="A104" s="10" t="inlineStr">
        <is>
          <t>F4 — Macro da malha</t>
        </is>
      </c>
      <c r="B104" s="10" t="inlineStr">
        <is>
          <t>3ª foto do 2º print — close de textura ocupando o quadro</t>
        </is>
      </c>
      <c r="C104" s="10" t="inlineStr">
        <is>
          <t>1:1</t>
        </is>
      </c>
      <c r="D104" s="11" t="inlineStr">
        <is>
          <t>A gerar</t>
        </is>
      </c>
    </row>
    <row r="105">
      <c r="A105" s="10" t="inlineStr">
        <is>
          <t>F5 — Variação de cor</t>
        </is>
      </c>
      <c r="B105" s="10" t="inlineStr">
        <is>
          <t>4ª/5ª miniatura — peça nude/rosé com calça preta</t>
        </is>
      </c>
      <c r="C105" s="10" t="inlineStr">
        <is>
          <t>4:5</t>
        </is>
      </c>
      <c r="D105" s="11" t="inlineStr">
        <is>
          <t>A gerar</t>
        </is>
      </c>
    </row>
  </sheetData>
  <mergeCells count="33">
    <mergeCell ref="B4:F4"/>
    <mergeCell ref="B7:F7"/>
    <mergeCell ref="A46:F46"/>
    <mergeCell ref="A80:F80"/>
    <mergeCell ref="A89:C89"/>
    <mergeCell ref="B15:E15"/>
    <mergeCell ref="B24:E24"/>
    <mergeCell ref="B20:E20"/>
    <mergeCell ref="D87:F87"/>
    <mergeCell ref="B26:E26"/>
    <mergeCell ref="B11:F11"/>
    <mergeCell ref="B16:E16"/>
    <mergeCell ref="B25:E25"/>
    <mergeCell ref="A35:F35"/>
    <mergeCell ref="B8:F8"/>
    <mergeCell ref="B22:E22"/>
    <mergeCell ref="A81:F81"/>
    <mergeCell ref="B18:E18"/>
    <mergeCell ref="D89:F89"/>
    <mergeCell ref="B10:F10"/>
    <mergeCell ref="B21:E21"/>
    <mergeCell ref="D88:F88"/>
    <mergeCell ref="A83:F83"/>
    <mergeCell ref="B9:F9"/>
    <mergeCell ref="B17:E17"/>
    <mergeCell ref="B23:E23"/>
    <mergeCell ref="A82:F82"/>
    <mergeCell ref="B6:F6"/>
    <mergeCell ref="B5:F5"/>
    <mergeCell ref="A79:F79"/>
    <mergeCell ref="A88:C88"/>
    <mergeCell ref="B19:E19"/>
    <mergeCell ref="A87:C87"/>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104"/>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P08 — Camiseta Egyptian Cotton Fio 50/1 com Elastano</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HMZT-P08-REG-EGY50</t>
        </is>
      </c>
    </row>
    <row r="5">
      <c r="A5" s="24" t="inlineStr">
        <is>
          <t>Fornecedor</t>
        </is>
      </c>
      <c r="B5" s="2" t="inlineStr">
        <is>
          <t>Lunfe Malhas — fabricação própria, Itajaí-SC</t>
        </is>
      </c>
    </row>
    <row r="6">
      <c r="A6" s="24" t="inlineStr">
        <is>
          <t>Referência</t>
        </is>
      </c>
      <c r="B6" s="2" t="inlineStr">
        <is>
          <t>7891557272995 (EAN-13)</t>
        </is>
      </c>
    </row>
    <row r="7">
      <c r="A7" s="24" t="inlineStr">
        <is>
          <t>URL</t>
        </is>
      </c>
      <c r="B7" s="2" t="inlineStr">
        <is>
          <t>lunfemalhas.com.br/camiseta-egyptian-cotton-atacado-algodao-egipcio-50-1-lunfe</t>
        </is>
      </c>
    </row>
    <row r="8">
      <c r="A8" s="24" t="inlineStr">
        <is>
          <t>Categoria no site</t>
        </is>
      </c>
      <c r="B8" s="2" t="inlineStr">
        <is>
          <t>Camisetas › Masculino › Premium</t>
        </is>
      </c>
    </row>
    <row r="9">
      <c r="A9" s="24" t="inlineStr">
        <is>
          <t>Linha HMZT recomendada</t>
        </is>
      </c>
      <c r="B9" s="2" t="inlineStr">
        <is>
          <t>Topo / Assinatura (inclui unissex)</t>
        </is>
      </c>
    </row>
    <row r="10">
      <c r="A10" s="24" t="inlineStr">
        <is>
          <t>Estoque</t>
        </is>
      </c>
      <c r="B10" s="8" t="inlineStr">
        <is>
          <t>7 cores em estoque (off white com traço na página ⚠️)</t>
        </is>
      </c>
    </row>
    <row r="11">
      <c r="A11" s="24" t="inlineStr">
        <is>
          <t>Descritor canônico (IA)</t>
        </is>
      </c>
      <c r="B11" s="2" t="inlineStr">
        <is>
          <t>Camiseta regular fit de caimento fluido, gola careca de ribana lisa fina, malha leve de algodão muito lisa com brilho natural sutil.</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91,5% algodão egípcio (G. barbadense) + 8,5% elastano</t>
        </is>
      </c>
      <c r="C15" s="29" t="n"/>
      <c r="D15" s="29" t="n"/>
      <c r="E15" s="30" t="n"/>
    </row>
    <row r="16">
      <c r="A16" s="10" t="inlineStr">
        <is>
          <t>Fibra</t>
        </is>
      </c>
      <c r="B16" s="10" t="inlineStr">
        <is>
          <t>Extra-longa, staple 32–36 mm</t>
        </is>
      </c>
      <c r="C16" s="29" t="n"/>
      <c r="D16" s="29" t="n"/>
      <c r="E16" s="30" t="n"/>
    </row>
    <row r="17">
      <c r="A17" s="10" t="inlineStr">
        <is>
          <t>Fio</t>
        </is>
      </c>
      <c r="B17" s="10" t="inlineStr">
        <is>
          <t>Penteado e refinado 50/1 (o mais fino do catálogo)</t>
        </is>
      </c>
      <c r="C17" s="29" t="n"/>
      <c r="D17" s="29" t="n"/>
      <c r="E17" s="30" t="n"/>
    </row>
    <row r="18">
      <c r="A18" s="10" t="inlineStr">
        <is>
          <t>Gramatura</t>
        </is>
      </c>
      <c r="B18" s="10" t="inlineStr">
        <is>
          <t>170 g/m²</t>
        </is>
      </c>
      <c r="C18" s="29" t="n"/>
      <c r="D18" s="29" t="n"/>
      <c r="E18" s="30" t="n"/>
    </row>
    <row r="19">
      <c r="A19" s="10" t="inlineStr">
        <is>
          <t>Modelagem</t>
        </is>
      </c>
      <c r="B19" s="10" t="inlineStr">
        <is>
          <t>Regular fit, caimento fluido</t>
        </is>
      </c>
      <c r="C19" s="29" t="n"/>
      <c r="D19" s="29" t="n"/>
      <c r="E19" s="30" t="n"/>
    </row>
    <row r="20">
      <c r="A20" s="10" t="inlineStr">
        <is>
          <t>Gola</t>
        </is>
      </c>
      <c r="B20" s="10" t="inlineStr">
        <is>
          <t>Ribana 2/1 lisa (sem canelado)</t>
        </is>
      </c>
      <c r="C20" s="29" t="n"/>
      <c r="D20" s="29" t="n"/>
      <c r="E20" s="30" t="n"/>
    </row>
    <row r="21">
      <c r="A21" s="10" t="inlineStr">
        <is>
          <t>Costura interna</t>
        </is>
      </c>
      <c r="B21" s="10" t="inlineStr">
        <is>
          <t>Ponto conjugado (costura plana)</t>
        </is>
      </c>
      <c r="C21" s="29" t="n"/>
      <c r="D21" s="29" t="n"/>
      <c r="E21" s="30" t="n"/>
    </row>
    <row r="22">
      <c r="A22" s="10" t="inlineStr">
        <is>
          <t>Ombros</t>
        </is>
      </c>
      <c r="B22" s="10" t="inlineStr">
        <is>
          <t>Reforço ombro a ombro</t>
        </is>
      </c>
      <c r="C22" s="29" t="n"/>
      <c r="D22" s="29" t="n"/>
      <c r="E22" s="30" t="n"/>
    </row>
    <row r="23">
      <c r="A23" s="10" t="inlineStr">
        <is>
          <t>Barra</t>
        </is>
      </c>
      <c r="B23" s="10" t="inlineStr">
        <is>
          <t>Dupla</t>
        </is>
      </c>
      <c r="C23" s="29" t="n"/>
      <c r="D23" s="29" t="n"/>
      <c r="E23" s="30" t="n"/>
    </row>
    <row r="24">
      <c r="A24" s="10" t="inlineStr">
        <is>
          <t>Tratamentos</t>
        </is>
      </c>
      <c r="B24" s="10" t="inlineStr">
        <is>
          <t>Pré-encolhimento, fixação reativa de cor, amaciamento</t>
        </is>
      </c>
      <c r="C24" s="29" t="n"/>
      <c r="D24" s="29" t="n"/>
      <c r="E24" s="30" t="n"/>
    </row>
    <row r="25">
      <c r="A25" s="10" t="inlineStr">
        <is>
          <t>Certificação</t>
        </is>
      </c>
      <c r="B25" s="10" t="inlineStr">
        <is>
          <t>OEKO-TEX Standard 100 (algodão e elastano)</t>
        </is>
      </c>
      <c r="C25" s="29" t="n"/>
      <c r="D25" s="29" t="n"/>
      <c r="E25" s="30" t="n"/>
    </row>
    <row r="27">
      <c r="A27" s="27" t="inlineStr">
        <is>
          <t>3. Tabela de medidas (cm)</t>
        </is>
      </c>
      <c r="B27" s="28" t="n"/>
      <c r="C27" s="28" t="n"/>
      <c r="D27" s="28" t="n"/>
      <c r="E27" s="28" t="n"/>
      <c r="F27" s="28" t="n"/>
    </row>
    <row r="28">
      <c r="A28" s="9" t="inlineStr">
        <is>
          <t>Tamanho</t>
        </is>
      </c>
      <c r="B28" s="9" t="inlineStr">
        <is>
          <t>Comprimento</t>
        </is>
      </c>
      <c r="C28" s="9" t="inlineStr">
        <is>
          <t>Largura</t>
        </is>
      </c>
      <c r="D28" s="9" t="inlineStr">
        <is>
          <t>Ombros</t>
        </is>
      </c>
      <c r="E28" s="9" t="inlineStr">
        <is>
          <t>Mangas</t>
        </is>
      </c>
    </row>
    <row r="29">
      <c r="A29" s="10" t="inlineStr">
        <is>
          <t>P</t>
        </is>
      </c>
      <c r="B29" s="11" t="n">
        <v>70</v>
      </c>
      <c r="C29" s="11" t="n">
        <v>52</v>
      </c>
      <c r="D29" s="11" t="n">
        <v>44</v>
      </c>
      <c r="E29" s="11" t="n">
        <v>16</v>
      </c>
    </row>
    <row r="30">
      <c r="A30" s="10" t="inlineStr">
        <is>
          <t>M</t>
        </is>
      </c>
      <c r="B30" s="11" t="n">
        <v>72</v>
      </c>
      <c r="C30" s="11" t="n">
        <v>54</v>
      </c>
      <c r="D30" s="11" t="n">
        <v>46</v>
      </c>
      <c r="E30" s="11" t="n">
        <v>18</v>
      </c>
    </row>
    <row r="31">
      <c r="A31" s="10" t="inlineStr">
        <is>
          <t>G</t>
        </is>
      </c>
      <c r="B31" s="11" t="n">
        <v>74</v>
      </c>
      <c r="C31" s="11" t="n">
        <v>56</v>
      </c>
      <c r="D31" s="11" t="n">
        <v>48</v>
      </c>
      <c r="E31" s="11" t="n">
        <v>20</v>
      </c>
    </row>
    <row r="32">
      <c r="A32" s="10" t="inlineStr">
        <is>
          <t>GG</t>
        </is>
      </c>
      <c r="B32" s="11" t="n">
        <v>76</v>
      </c>
      <c r="C32" s="11" t="n">
        <v>58</v>
      </c>
      <c r="D32" s="11" t="n">
        <v>50</v>
      </c>
      <c r="E32" s="11" t="n">
        <v>22</v>
      </c>
    </row>
    <row r="33">
      <c r="A33" s="10" t="inlineStr">
        <is>
          <t>EG</t>
        </is>
      </c>
      <c r="B33" s="11" t="n">
        <v>78</v>
      </c>
      <c r="C33" s="11" t="n">
        <v>60</v>
      </c>
      <c r="D33" s="11" t="n">
        <v>52</v>
      </c>
      <c r="E33" s="11" t="n">
        <v>24</v>
      </c>
    </row>
    <row r="34" ht="30" customHeight="1">
      <c r="A34" s="2" t="inlineStr">
        <is>
          <t>Em cm, em repouso, ± 2 cm.</t>
        </is>
      </c>
    </row>
    <row r="35">
      <c r="A35" s="15" t="inlineStr">
        <is>
          <t>Modelo das fotos: 1,84 m · 84 kg · veste M</t>
        </is>
      </c>
    </row>
    <row r="37">
      <c r="A37" s="27" t="inlineStr">
        <is>
          <t>4. Cores disponíveis</t>
        </is>
      </c>
      <c r="B37" s="28" t="n"/>
      <c r="C37" s="28" t="n"/>
      <c r="D37" s="28" t="n"/>
      <c r="E37" s="28" t="n"/>
      <c r="F37" s="28" t="n"/>
    </row>
    <row r="38">
      <c r="A38" s="9" t="inlineStr">
        <is>
          <t>Cor</t>
        </is>
      </c>
      <c r="B38" s="9" t="inlineStr">
        <is>
          <t>Código HMZT</t>
        </is>
      </c>
      <c r="C38" s="9" t="inlineStr">
        <is>
          <t>Ref. fornecedor</t>
        </is>
      </c>
      <c r="D38" s="9" t="inlineStr">
        <is>
          <t>Observação</t>
        </is>
      </c>
    </row>
    <row r="39">
      <c r="A39" s="10" t="inlineStr">
        <is>
          <t>Off White</t>
        </is>
      </c>
      <c r="B39" s="10" t="inlineStr">
        <is>
          <t>OFF</t>
        </is>
      </c>
      <c r="C39" s="10" t="inlineStr">
        <is>
          <t>EGY-OFW</t>
        </is>
      </c>
      <c r="D39" s="10" t="inlineStr">
        <is>
          <t>Traço na bolinha — confirmar estoque</t>
        </is>
      </c>
    </row>
    <row r="40">
      <c r="A40" s="10" t="inlineStr">
        <is>
          <t>Bordô</t>
        </is>
      </c>
      <c r="B40" s="10" t="inlineStr">
        <is>
          <t>BDO</t>
        </is>
      </c>
      <c r="C40" s="10" t="inlineStr">
        <is>
          <t>EGY-BRD</t>
        </is>
      </c>
      <c r="D40" s="10" t="inlineStr"/>
    </row>
    <row r="41">
      <c r="A41" s="10" t="inlineStr">
        <is>
          <t>Bege</t>
        </is>
      </c>
      <c r="B41" s="10" t="inlineStr">
        <is>
          <t>BGE</t>
        </is>
      </c>
      <c r="C41" s="10" t="inlineStr">
        <is>
          <t>EGY-BGE</t>
        </is>
      </c>
      <c r="D41" s="10" t="inlineStr">
        <is>
          <t>7ª cor que faltava no seletor</t>
        </is>
      </c>
    </row>
    <row r="42">
      <c r="A42" s="10" t="inlineStr">
        <is>
          <t>Preto</t>
        </is>
      </c>
      <c r="B42" s="10" t="inlineStr">
        <is>
          <t>PRT</t>
        </is>
      </c>
      <c r="C42" s="10" t="inlineStr">
        <is>
          <t>EGY-PRT</t>
        </is>
      </c>
      <c r="D42" s="10" t="inlineStr"/>
    </row>
    <row r="43">
      <c r="A43" s="10" t="inlineStr">
        <is>
          <t>Verde Militar</t>
        </is>
      </c>
      <c r="B43" s="10" t="inlineStr">
        <is>
          <t>VML</t>
        </is>
      </c>
      <c r="C43" s="10" t="inlineStr">
        <is>
          <t>EGY-VML</t>
        </is>
      </c>
      <c r="D43" s="10" t="inlineStr"/>
    </row>
    <row r="44">
      <c r="A44" s="10" t="inlineStr">
        <is>
          <t>Laranja</t>
        </is>
      </c>
      <c r="B44" s="10" t="inlineStr">
        <is>
          <t>LAR</t>
        </is>
      </c>
      <c r="C44" s="10" t="inlineStr">
        <is>
          <t>EGY-LRJ</t>
        </is>
      </c>
      <c r="D44" s="10" t="inlineStr"/>
    </row>
    <row r="45">
      <c r="A45" s="10" t="inlineStr">
        <is>
          <t>Verde</t>
        </is>
      </c>
      <c r="B45" s="10" t="inlineStr">
        <is>
          <t>VRD</t>
        </is>
      </c>
      <c r="C45" s="10" t="inlineStr">
        <is>
          <t>EGY-VRD</t>
        </is>
      </c>
      <c r="D45" s="10" t="inlineStr"/>
    </row>
    <row r="46" ht="30" customHeight="1">
      <c r="A46" s="2" t="inlineStr">
        <is>
          <t>Pantone a partir de 100 pç/cor, 15–25 dias úteis.</t>
        </is>
      </c>
    </row>
    <row r="48">
      <c r="A48" s="27" t="inlineStr">
        <is>
          <t>5. Personalização (preço sempre sob orçamento)</t>
        </is>
      </c>
      <c r="B48" s="28" t="n"/>
      <c r="C48" s="28" t="n"/>
      <c r="D48" s="28" t="n"/>
      <c r="E48" s="28" t="n"/>
      <c r="F48" s="28" t="n"/>
    </row>
    <row r="49">
      <c r="A49" s="9" t="inlineStr">
        <is>
          <t>Técnica</t>
        </is>
      </c>
      <c r="B49" s="9" t="inlineStr">
        <is>
          <t>Detalhe</t>
        </is>
      </c>
      <c r="C49" s="9" t="inlineStr">
        <is>
          <t>Mínimo</t>
        </is>
      </c>
    </row>
    <row r="50">
      <c r="A50" s="10" t="inlineStr">
        <is>
          <t>Silk base d'água</t>
        </is>
      </c>
      <c r="B50" s="10" t="inlineStr">
        <is>
          <t>Toque zero (evitar plastisol)</t>
        </is>
      </c>
      <c r="C50" s="10" t="inlineStr">
        <is>
          <t>20 pç</t>
        </is>
      </c>
    </row>
    <row r="51">
      <c r="A51" s="10" t="inlineStr">
        <is>
          <t>DTF</t>
        </is>
      </c>
      <c r="B51" s="10" t="inlineStr">
        <is>
          <t>Full color</t>
        </is>
      </c>
      <c r="C51" s="10" t="inlineStr">
        <is>
          <t>20 pç</t>
        </is>
      </c>
    </row>
    <row r="52">
      <c r="A52" s="10" t="inlineStr">
        <is>
          <t>Bordado</t>
        </is>
      </c>
      <c r="B52" s="10" t="inlineStr">
        <is>
          <t>Exige entretela (elastano)</t>
        </is>
      </c>
      <c r="C52" s="10" t="inlineStr">
        <is>
          <t>20 pç</t>
        </is>
      </c>
    </row>
    <row r="53">
      <c r="A53" s="10" t="inlineStr">
        <is>
          <t>Etiqueta private label</t>
        </is>
      </c>
      <c r="B53" s="10" t="inlineStr">
        <is>
          <t>Interna + tag</t>
        </is>
      </c>
      <c r="C53" s="10" t="inlineStr">
        <is>
          <t>20 pç</t>
        </is>
      </c>
    </row>
    <row r="54">
      <c r="A54" s="10" t="inlineStr">
        <is>
          <t>Embalagem customizada</t>
        </is>
      </c>
      <c r="B54" s="10" t="inlineStr"/>
      <c r="C54" s="10" t="inlineStr">
        <is>
          <t>50 pç</t>
        </is>
      </c>
    </row>
    <row r="55">
      <c r="A55" s="10" t="inlineStr">
        <is>
          <t>Cor Pantone</t>
        </is>
      </c>
      <c r="B55" s="10" t="inlineStr"/>
      <c r="C55" s="10" t="inlineStr">
        <is>
          <t>100 pç/cor</t>
        </is>
      </c>
    </row>
    <row r="57">
      <c r="A57" s="27" t="inlineStr">
        <is>
          <t>6. Preços do fornecedor (desconto progressivo)</t>
        </is>
      </c>
      <c r="B57" s="28" t="n"/>
      <c r="C57" s="28" t="n"/>
      <c r="D57" s="28" t="n"/>
      <c r="E57" s="28" t="n"/>
      <c r="F57" s="28" t="n"/>
    </row>
    <row r="58">
      <c r="A58" s="24" t="inlineStr">
        <is>
          <t>Preço base (R$)</t>
        </is>
      </c>
      <c r="B58" s="31" t="n">
        <v>52.65</v>
      </c>
    </row>
    <row r="59">
      <c r="A59" s="17" t="inlineStr">
        <is>
          <t>Faixa</t>
        </is>
      </c>
      <c r="B59" s="17" t="inlineStr">
        <is>
          <t>Peças</t>
        </is>
      </c>
      <c r="C59" s="17" t="inlineStr">
        <is>
          <t>Desconto</t>
        </is>
      </c>
      <c r="D59" s="17" t="inlineStr">
        <is>
          <t>Preço unitário</t>
        </is>
      </c>
      <c r="E59" s="17" t="inlineStr">
        <is>
          <t>Preço + Pix</t>
        </is>
      </c>
    </row>
    <row r="60">
      <c r="A60" s="18" t="inlineStr">
        <is>
          <t>Faixa 1</t>
        </is>
      </c>
      <c r="B60" s="18" t="inlineStr">
        <is>
          <t>20–40</t>
        </is>
      </c>
      <c r="C60" s="32">
        <f>'Regras Fornecedor'!$D$4</f>
        <v/>
      </c>
      <c r="D60" s="33">
        <f>ROUND($B$58*(1-C60),2)</f>
        <v/>
      </c>
      <c r="E60" s="34">
        <f>ROUND(D60*(1-'Regras Fornecedor'!$B$10),2)</f>
        <v/>
      </c>
    </row>
    <row r="61">
      <c r="A61" s="18" t="inlineStr">
        <is>
          <t>Faixa 2</t>
        </is>
      </c>
      <c r="B61" s="18" t="inlineStr">
        <is>
          <t>40–80</t>
        </is>
      </c>
      <c r="C61" s="32">
        <f>'Regras Fornecedor'!$D$5</f>
        <v/>
      </c>
      <c r="D61" s="33">
        <f>ROUND($B$58*(1-C61),2)</f>
        <v/>
      </c>
      <c r="E61" s="34">
        <f>ROUND(D61*(1-'Regras Fornecedor'!$B$10),2)</f>
        <v/>
      </c>
    </row>
    <row r="62">
      <c r="A62" s="18" t="inlineStr">
        <is>
          <t>Faixa 3</t>
        </is>
      </c>
      <c r="B62" s="18" t="inlineStr">
        <is>
          <t>80–100</t>
        </is>
      </c>
      <c r="C62" s="32">
        <f>'Regras Fornecedor'!$D$6</f>
        <v/>
      </c>
      <c r="D62" s="33">
        <f>ROUND($B$58*(1-C62),2)</f>
        <v/>
      </c>
      <c r="E62" s="34">
        <f>ROUND(D62*(1-'Regras Fornecedor'!$B$10),2)</f>
        <v/>
      </c>
    </row>
    <row r="63">
      <c r="A63" s="18" t="inlineStr">
        <is>
          <t>Faixa 4</t>
        </is>
      </c>
      <c r="B63" s="18" t="inlineStr">
        <is>
          <t>100–300</t>
        </is>
      </c>
      <c r="C63" s="32">
        <f>'Regras Fornecedor'!$D$7</f>
        <v/>
      </c>
      <c r="D63" s="33">
        <f>ROUND($B$58*(1-C63),2)</f>
        <v/>
      </c>
      <c r="E63" s="34">
        <f>ROUND(D63*(1-'Regras Fornecedor'!$B$10),2)</f>
        <v/>
      </c>
    </row>
    <row r="64">
      <c r="A64" s="18" t="inlineStr">
        <is>
          <t>Faixa 5</t>
        </is>
      </c>
      <c r="B64" s="18" t="inlineStr">
        <is>
          <t>300–999</t>
        </is>
      </c>
      <c r="C64" s="32">
        <f>'Regras Fornecedor'!$D$8</f>
        <v/>
      </c>
      <c r="D64" s="33">
        <f>ROUND($B$58*(1-C64),2)</f>
        <v/>
      </c>
      <c r="E64" s="34">
        <f>ROUND(D64*(1-'Regras Fornecedor'!$B$10),2)</f>
        <v/>
      </c>
    </row>
    <row r="66">
      <c r="A66" s="27" t="inlineStr">
        <is>
          <t>7. Custo HMZT e margem (lote de 20 peças, Pix)</t>
        </is>
      </c>
      <c r="B66" s="28" t="n"/>
      <c r="C66" s="28" t="n"/>
      <c r="D66" s="28" t="n"/>
      <c r="E66" s="28" t="n"/>
      <c r="F66" s="28" t="n"/>
    </row>
    <row r="67">
      <c r="A67" s="24" t="inlineStr">
        <is>
          <t>Peça (20 pç, Pix)</t>
        </is>
      </c>
      <c r="B67" s="35">
        <f>E60</f>
        <v/>
      </c>
    </row>
    <row r="68">
      <c r="A68" s="24" t="inlineStr">
        <is>
          <t>Personalização + etiqueta + tag (R$/pç)</t>
        </is>
      </c>
      <c r="B68" s="36" t="n">
        <v>15</v>
      </c>
      <c r="C68" s="15" t="inlineStr">
        <is>
          <t>Estimativa HMZT — trocar pelo orçamento real</t>
        </is>
      </c>
    </row>
    <row r="69">
      <c r="A69" s="24" t="inlineStr">
        <is>
          <t>Frete rateado + embalagem (R$/pç)</t>
        </is>
      </c>
      <c r="B69" s="36" t="n">
        <v>6</v>
      </c>
      <c r="C69" s="15" t="inlineStr">
        <is>
          <t>Estimativa HMZT — trocar pelo orçamento real</t>
        </is>
      </c>
    </row>
    <row r="70">
      <c r="A70" s="24" t="inlineStr">
        <is>
          <t>Custo unitário estimado</t>
        </is>
      </c>
      <c r="B70" s="37">
        <f>SUM(B67:B69)</f>
        <v/>
      </c>
    </row>
    <row r="71">
      <c r="A71" s="24" t="inlineStr">
        <is>
          <t>Preço de venda HMZT (R$)</t>
        </is>
      </c>
      <c r="B71" s="36" t="n">
        <v>189</v>
      </c>
      <c r="C71" s="15" t="inlineStr">
        <is>
          <t>Sugestão do dossiê — ajustar</t>
        </is>
      </c>
    </row>
    <row r="72">
      <c r="A72" s="24" t="inlineStr">
        <is>
          <t>Impostos + gateway (% do preço)</t>
        </is>
      </c>
      <c r="B72" s="38" t="n">
        <v>0</v>
      </c>
      <c r="C72" s="15" t="inlineStr">
        <is>
          <t>A preencher (Simples + taxa Asaas)</t>
        </is>
      </c>
    </row>
    <row r="73">
      <c r="A73" s="24" t="inlineStr">
        <is>
          <t>Margem bruta (R$)</t>
        </is>
      </c>
      <c r="B73" s="35">
        <f>B71-B70</f>
        <v/>
      </c>
    </row>
    <row r="74">
      <c r="A74" s="24" t="inlineStr">
        <is>
          <t>Margem bruta (%)</t>
        </is>
      </c>
      <c r="B74" s="39">
        <f>IF(B71=0,0,(B71-B70)/B71)</f>
        <v/>
      </c>
    </row>
    <row r="75">
      <c r="A75" s="24" t="inlineStr">
        <is>
          <t>Margem após impostos/gateway (%)</t>
        </is>
      </c>
      <c r="B75" s="39">
        <f>IF(B71=0,0,(B71*(1-B72)-B70)/B71)</f>
        <v/>
      </c>
      <c r="C75" s="15" t="inlineStr">
        <is>
          <t>Ainda sem frete ao cliente e mídia</t>
        </is>
      </c>
    </row>
    <row r="77">
      <c r="A77" s="27" t="inlineStr">
        <is>
          <t>8. Contradições e erros ⚠️</t>
        </is>
      </c>
      <c r="B77" s="28" t="n"/>
      <c r="C77" s="28" t="n"/>
      <c r="D77" s="28" t="n"/>
      <c r="E77" s="28" t="n"/>
      <c r="F77" s="28" t="n"/>
    </row>
    <row r="78">
      <c r="A78" s="8" t="inlineStr">
        <is>
          <t>⚠️ "50/1 é quase o dobro da finura do 30/1" — exagero</t>
        </is>
      </c>
    </row>
    <row r="79">
      <c r="A79" s="8" t="inlineStr">
        <is>
          <t>⚠️ "Como percal 400 fios" — sem base</t>
        </is>
      </c>
    </row>
    <row r="80">
      <c r="A80" s="8" t="inlineStr">
        <is>
          <t>⚠️ Fibra 32–36 × 36+ mm entre textos</t>
        </is>
      </c>
    </row>
    <row r="81">
      <c r="A81" s="8" t="inlineStr">
        <is>
          <t>⚠️ Tabela cita "Pima 200g peruano sob consulta"</t>
        </is>
      </c>
    </row>
    <row r="82">
      <c r="A82" s="8" t="inlineStr">
        <is>
          <t>⚠️ Off white com traço × em estoque</t>
        </is>
      </c>
    </row>
    <row r="84">
      <c r="A84" s="27" t="inlineStr">
        <is>
          <t>9. Comunicação HMZT</t>
        </is>
      </c>
      <c r="B84" s="28" t="n"/>
      <c r="C84" s="28" t="n"/>
      <c r="D84" s="28" t="n"/>
      <c r="E84" s="28" t="n"/>
      <c r="F84" s="28" t="n"/>
    </row>
    <row r="85">
      <c r="A85" s="24" t="inlineStr">
        <is>
          <t>✅ Pode usar</t>
        </is>
      </c>
      <c r="D85" s="24" t="inlineStr">
        <is>
          <t>📣 / ⛔ Não usar</t>
        </is>
      </c>
    </row>
    <row r="86">
      <c r="A86" s="40" t="inlineStr">
        <is>
          <t>OEKO-TEX Standard 100 — com nº do certificado</t>
        </is>
      </c>
      <c r="D86" s="8" t="inlineStr">
        <is>
          <t>"O algodão mais nobre do mundo", "como seda"</t>
        </is>
      </c>
    </row>
    <row r="87">
      <c r="A87" s="40" t="inlineStr">
        <is>
          <t>Algodão egípcio fibra extra-longa, fio 50/1 — só com comprovação</t>
        </is>
      </c>
      <c r="D87" s="8" t="inlineStr">
        <is>
          <t>"Maior conversão por toque"</t>
        </is>
      </c>
    </row>
    <row r="88">
      <c r="A88" s="40" t="inlineStr">
        <is>
          <t>Caimento fluido, não amassa</t>
        </is>
      </c>
    </row>
    <row r="89">
      <c r="A89" s="40" t="inlineStr">
        <is>
          <t>Costura plana, gola lisa</t>
        </is>
      </c>
    </row>
    <row r="91">
      <c r="A91" s="27" t="inlineStr">
        <is>
          <t>10. Pendências com o fornecedor</t>
        </is>
      </c>
      <c r="B91" s="28" t="n"/>
      <c r="C91" s="28" t="n"/>
      <c r="D91" s="28" t="n"/>
      <c r="E91" s="28" t="n"/>
      <c r="F91" s="28" t="n"/>
    </row>
    <row r="92">
      <c r="A92" s="9" t="inlineStr">
        <is>
          <t>Pendência</t>
        </is>
      </c>
      <c r="B92" s="9" t="inlineStr">
        <is>
          <t>Status</t>
        </is>
      </c>
      <c r="C92" s="9" t="inlineStr">
        <is>
          <t>Responsável</t>
        </is>
      </c>
      <c r="D92" s="9" t="inlineStr">
        <is>
          <t>Resposta</t>
        </is>
      </c>
    </row>
    <row r="93">
      <c r="A93" s="10" t="inlineStr">
        <is>
          <t>Nº do certificado OEKO-TEX</t>
        </is>
      </c>
      <c r="B93" s="11" t="inlineStr">
        <is>
          <t>Aberta</t>
        </is>
      </c>
      <c r="C93" s="11" t="inlineStr"/>
      <c r="D93" s="11" t="inlineStr"/>
    </row>
    <row r="94">
      <c r="A94" s="10" t="inlineStr">
        <is>
          <t>Comprovação egípcio (Giza? Cotton Egypt?)</t>
        </is>
      </c>
      <c r="B94" s="11" t="inlineStr">
        <is>
          <t>Aberta</t>
        </is>
      </c>
      <c r="C94" s="11" t="inlineStr"/>
      <c r="D94" s="11" t="inlineStr"/>
    </row>
    <row r="95">
      <c r="A95" s="10" t="inlineStr">
        <is>
          <t>Estoque off white</t>
        </is>
      </c>
      <c r="B95" s="11" t="inlineStr">
        <is>
          <t>Aberta</t>
        </is>
      </c>
      <c r="C95" s="11" t="inlineStr"/>
      <c r="D95" s="11" t="inlineStr"/>
    </row>
    <row r="96">
      <c r="A96" s="10" t="inlineStr">
        <is>
          <t>Modelagem feminina?</t>
        </is>
      </c>
      <c r="B96" s="11" t="inlineStr">
        <is>
          <t>Aberta</t>
        </is>
      </c>
      <c r="C96" s="11" t="inlineStr"/>
      <c r="D96" s="11" t="inlineStr"/>
    </row>
    <row r="97">
      <c r="A97" s="10" t="inlineStr">
        <is>
          <t>Orçamento bordado com entretela</t>
        </is>
      </c>
      <c r="B97" s="11" t="inlineStr">
        <is>
          <t>Aberta</t>
        </is>
      </c>
      <c r="C97" s="11" t="inlineStr"/>
      <c r="D97" s="11" t="inlineStr"/>
    </row>
    <row r="99">
      <c r="A99" s="27" t="inlineStr">
        <is>
          <t>11. Fluxo de prompts de lookbook (docs/shop-confeccao/prompts/P08-prompts.md)</t>
        </is>
      </c>
      <c r="B99" s="28" t="n"/>
      <c r="C99" s="28" t="n"/>
      <c r="D99" s="28" t="n"/>
      <c r="E99" s="28" t="n"/>
      <c r="F99" s="28" t="n"/>
    </row>
    <row r="100">
      <c r="A100" s="9" t="inlineStr">
        <is>
          <t>Foto</t>
        </is>
      </c>
      <c r="B100" s="9" t="inlineStr">
        <is>
          <t>Origem no print</t>
        </is>
      </c>
      <c r="C100" s="9" t="inlineStr">
        <is>
          <t>Formato</t>
        </is>
      </c>
      <c r="D100" s="9" t="inlineStr">
        <is>
          <t>Status</t>
        </is>
      </c>
    </row>
    <row r="101">
      <c r="A101" s="10" t="inlineStr">
        <is>
          <t>F1 — Frontal plano aberto</t>
        </is>
      </c>
      <c r="B101" s="10" t="inlineStr">
        <is>
          <t>Foto principal e 1ª miniatura</t>
        </is>
      </c>
      <c r="C101" s="10" t="inlineStr">
        <is>
          <t>4:5</t>
        </is>
      </c>
      <c r="D101" s="11" t="inlineStr">
        <is>
          <t>A gerar</t>
        </is>
      </c>
    </row>
    <row r="102">
      <c r="A102" s="10" t="inlineStr">
        <is>
          <t>F2 — Detalhe gola e ombro</t>
        </is>
      </c>
      <c r="B102" s="10" t="inlineStr">
        <is>
          <t>2ª foto e 2ª miniatura</t>
        </is>
      </c>
      <c r="C102" s="10" t="inlineStr">
        <is>
          <t>4:5</t>
        </is>
      </c>
      <c r="D102" s="11" t="inlineStr">
        <is>
          <t>A gerar</t>
        </is>
      </c>
    </row>
    <row r="103">
      <c r="A103" s="10" t="inlineStr">
        <is>
          <t>F3 — Costas</t>
        </is>
      </c>
      <c r="B103" s="10" t="inlineStr">
        <is>
          <t>3ª foto e 3ª miniatura</t>
        </is>
      </c>
      <c r="C103" s="10" t="inlineStr">
        <is>
          <t>4:5</t>
        </is>
      </c>
      <c r="D103" s="11" t="inlineStr">
        <is>
          <t>A gerar</t>
        </is>
      </c>
    </row>
    <row r="104">
      <c r="A104" s="10" t="inlineStr">
        <is>
          <t>F4 — 3/4 mão no bolso</t>
        </is>
      </c>
      <c r="B104" s="10" t="inlineStr">
        <is>
          <t>4ª miniatura (baixa resolução — leitura aproximada)</t>
        </is>
      </c>
      <c r="C104" s="10" t="inlineStr">
        <is>
          <t>4:5</t>
        </is>
      </c>
      <c r="D104" s="11" t="inlineStr">
        <is>
          <t>A gerar</t>
        </is>
      </c>
    </row>
  </sheetData>
  <mergeCells count="32">
    <mergeCell ref="B4:F4"/>
    <mergeCell ref="B7:F7"/>
    <mergeCell ref="A46:F46"/>
    <mergeCell ref="A80:F80"/>
    <mergeCell ref="A89:C89"/>
    <mergeCell ref="B15:E15"/>
    <mergeCell ref="B24:E24"/>
    <mergeCell ref="B20:E20"/>
    <mergeCell ref="A86:C86"/>
    <mergeCell ref="D87:F87"/>
    <mergeCell ref="A87:C87"/>
    <mergeCell ref="B11:F11"/>
    <mergeCell ref="B16:E16"/>
    <mergeCell ref="B25:E25"/>
    <mergeCell ref="B8:F8"/>
    <mergeCell ref="B22:E22"/>
    <mergeCell ref="A81:F81"/>
    <mergeCell ref="B18:E18"/>
    <mergeCell ref="B10:F10"/>
    <mergeCell ref="B21:E21"/>
    <mergeCell ref="A34:F34"/>
    <mergeCell ref="B9:F9"/>
    <mergeCell ref="B17:E17"/>
    <mergeCell ref="B23:E23"/>
    <mergeCell ref="A82:F82"/>
    <mergeCell ref="B6:F6"/>
    <mergeCell ref="B5:F5"/>
    <mergeCell ref="A79:F79"/>
    <mergeCell ref="A88:C88"/>
    <mergeCell ref="B19:E19"/>
    <mergeCell ref="A78:F78"/>
    <mergeCell ref="D86:F8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P09 — Camiseta Suedine Light</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HMZT-P09-REG-SUELT</t>
        </is>
      </c>
    </row>
    <row r="5">
      <c r="A5" s="24" t="inlineStr">
        <is>
          <t>Fornecedor</t>
        </is>
      </c>
      <c r="B5" s="2" t="inlineStr">
        <is>
          <t>Lunfe Malhas — fabricação própria, Itajaí-SC</t>
        </is>
      </c>
    </row>
    <row r="6">
      <c r="A6" s="24" t="inlineStr">
        <is>
          <t>Referência</t>
        </is>
      </c>
      <c r="B6" s="2" t="inlineStr">
        <is>
          <t>7908365128002 (EAN-13)</t>
        </is>
      </c>
    </row>
    <row r="7">
      <c r="A7" s="24" t="inlineStr">
        <is>
          <t>URL</t>
        </is>
      </c>
      <c r="B7" s="2" t="inlineStr">
        <is>
          <t>lunfemalhas.com.br/camiseta-suedine-light-atacado-toque-aveludado-lunfe</t>
        </is>
      </c>
    </row>
    <row r="8">
      <c r="A8" s="24" t="inlineStr">
        <is>
          <t>Categoria no site</t>
        </is>
      </c>
      <c r="B8" s="2" t="inlineStr">
        <is>
          <t>Camisetas › Masculino › Premium</t>
        </is>
      </c>
    </row>
    <row r="9">
      <c r="A9" s="24" t="inlineStr">
        <is>
          <t>Linha HMZT recomendada</t>
        </is>
      </c>
      <c r="B9" s="2" t="inlineStr">
        <is>
          <t>Suedine light</t>
        </is>
      </c>
    </row>
    <row r="10">
      <c r="A10" s="24" t="inlineStr">
        <is>
          <t>Estoque</t>
        </is>
      </c>
      <c r="B10" s="2" t="inlineStr">
        <is>
          <t>Lisas em estoque, 24h</t>
        </is>
      </c>
    </row>
    <row r="11">
      <c r="A11" s="24" t="inlineStr">
        <is>
          <t>Descritor canônico (IA)</t>
        </is>
      </c>
      <c r="B11" s="2" t="inlineStr">
        <is>
          <t>Camiseta masculina regular fit, gola careca canelada, malha leve aveludada e fosca, caimento reto e fluido.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Blend algodão + fibras sintéticas — % NÃO informado</t>
        </is>
      </c>
      <c r="C15" s="29" t="n"/>
      <c r="D15" s="29" t="n"/>
      <c r="E15" s="30" t="n"/>
    </row>
    <row r="16">
      <c r="A16" s="10" t="inlineStr">
        <is>
          <t>Gramatura</t>
        </is>
      </c>
      <c r="B16" s="10" t="inlineStr">
        <is>
          <t>"Leve" — número NÃO informado</t>
        </is>
      </c>
      <c r="C16" s="29" t="n"/>
      <c r="D16" s="29" t="n"/>
      <c r="E16" s="30" t="n"/>
    </row>
    <row r="17">
      <c r="A17" s="10" t="inlineStr">
        <is>
          <t>Acabamento</t>
        </is>
      </c>
      <c r="B17" s="10" t="inlineStr">
        <is>
          <t>Suedine aveludado</t>
        </is>
      </c>
      <c r="C17" s="29" t="n"/>
      <c r="D17" s="29" t="n"/>
      <c r="E17" s="30" t="n"/>
    </row>
    <row r="18">
      <c r="A18" s="10" t="inlineStr">
        <is>
          <t>Modelagem</t>
        </is>
      </c>
      <c r="B18" s="10" t="inlineStr">
        <is>
          <t>Regular fit, caimento fluido</t>
        </is>
      </c>
      <c r="C18" s="29" t="n"/>
      <c r="D18" s="29" t="n"/>
      <c r="E18" s="30" t="n"/>
    </row>
    <row r="19">
      <c r="A19" s="10" t="inlineStr">
        <is>
          <t>Gola</t>
        </is>
      </c>
      <c r="B19" s="10" t="inlineStr">
        <is>
          <t>Careca</t>
        </is>
      </c>
      <c r="C19" s="29" t="n"/>
      <c r="D19" s="29" t="n"/>
      <c r="E19" s="30" t="n"/>
    </row>
    <row r="20">
      <c r="A20" s="10" t="inlineStr">
        <is>
          <t>Acabamentos</t>
        </is>
      </c>
      <c r="B20" s="10" t="inlineStr">
        <is>
          <t>Costuras reforçadas, pré-encolhida</t>
        </is>
      </c>
      <c r="C20" s="29" t="n"/>
      <c r="D20" s="29" t="n"/>
      <c r="E20" s="30" t="n"/>
    </row>
    <row r="21">
      <c r="A21" s="10" t="inlineStr">
        <is>
          <t>Uso</t>
        </is>
      </c>
      <c r="B21" s="10" t="inlineStr">
        <is>
          <t>Ano inteiro; segunda pele sob jaqueta</t>
        </is>
      </c>
      <c r="C21" s="29" t="n"/>
      <c r="D21" s="29" t="n"/>
      <c r="E21" s="30" t="n"/>
    </row>
    <row r="23">
      <c r="A23" s="27" t="inlineStr">
        <is>
          <t>3. Tabela de medidas (cm)</t>
        </is>
      </c>
      <c r="B23" s="28" t="n"/>
      <c r="C23" s="28" t="n"/>
      <c r="D23" s="28" t="n"/>
      <c r="E23" s="28" t="n"/>
      <c r="F23" s="28" t="n"/>
    </row>
    <row r="24">
      <c r="A24" s="9" t="inlineStr">
        <is>
          <t>Tamanho</t>
        </is>
      </c>
      <c r="B24" s="9" t="inlineStr">
        <is>
          <t>Comprimento</t>
        </is>
      </c>
      <c r="C24" s="9" t="inlineStr">
        <is>
          <t>Largura</t>
        </is>
      </c>
      <c r="D24" s="9" t="inlineStr">
        <is>
          <t>Ombros</t>
        </is>
      </c>
      <c r="E24" s="9" t="inlineStr">
        <is>
          <t>Mangas</t>
        </is>
      </c>
    </row>
    <row r="25">
      <c r="A25" s="10" t="inlineStr">
        <is>
          <t>P</t>
        </is>
      </c>
      <c r="B25" s="11" t="n">
        <v>70</v>
      </c>
      <c r="C25" s="11" t="n">
        <v>52</v>
      </c>
      <c r="D25" s="11" t="n">
        <v>44</v>
      </c>
      <c r="E25" s="11" t="n">
        <v>16</v>
      </c>
    </row>
    <row r="26">
      <c r="A26" s="10" t="inlineStr">
        <is>
          <t>M</t>
        </is>
      </c>
      <c r="B26" s="11" t="n">
        <v>72</v>
      </c>
      <c r="C26" s="11" t="n">
        <v>54</v>
      </c>
      <c r="D26" s="11" t="n">
        <v>46</v>
      </c>
      <c r="E26" s="11" t="n">
        <v>18</v>
      </c>
    </row>
    <row r="27">
      <c r="A27" s="10" t="inlineStr">
        <is>
          <t>G</t>
        </is>
      </c>
      <c r="B27" s="11" t="n">
        <v>74</v>
      </c>
      <c r="C27" s="11" t="n">
        <v>56</v>
      </c>
      <c r="D27" s="11" t="n">
        <v>48</v>
      </c>
      <c r="E27" s="11" t="n">
        <v>20</v>
      </c>
    </row>
    <row r="28">
      <c r="A28" s="10" t="inlineStr">
        <is>
          <t>GG</t>
        </is>
      </c>
      <c r="B28" s="11" t="n">
        <v>76</v>
      </c>
      <c r="C28" s="11" t="n">
        <v>58</v>
      </c>
      <c r="D28" s="11" t="n">
        <v>50</v>
      </c>
      <c r="E28" s="11" t="n">
        <v>22</v>
      </c>
    </row>
    <row r="29">
      <c r="A29" s="10" t="inlineStr">
        <is>
          <t>EG</t>
        </is>
      </c>
      <c r="B29" s="11" t="n">
        <v>78</v>
      </c>
      <c r="C29" s="11" t="n">
        <v>60</v>
      </c>
      <c r="D29" s="11" t="n">
        <v>52</v>
      </c>
      <c r="E29" s="11" t="n">
        <v>24</v>
      </c>
    </row>
    <row r="30" ht="30" customHeight="1">
      <c r="A30" s="2" t="inlineStr">
        <is>
          <t>Em cm, variação 1–2 cm.</t>
        </is>
      </c>
    </row>
    <row r="31">
      <c r="A31" s="15" t="inlineStr">
        <is>
          <t>Modelo das fotos: 1,84 m · 84 kg · veste M</t>
        </is>
      </c>
    </row>
    <row r="33">
      <c r="A33" s="27" t="inlineStr">
        <is>
          <t>4. Cores disponíveis</t>
        </is>
      </c>
      <c r="B33" s="28" t="n"/>
      <c r="C33" s="28" t="n"/>
      <c r="D33" s="28" t="n"/>
      <c r="E33" s="28" t="n"/>
      <c r="F33" s="28" t="n"/>
    </row>
    <row r="34">
      <c r="A34" s="9" t="inlineStr">
        <is>
          <t>Cor</t>
        </is>
      </c>
      <c r="B34" s="9" t="inlineStr">
        <is>
          <t>Código HMZT</t>
        </is>
      </c>
      <c r="C34" s="9" t="inlineStr">
        <is>
          <t>Ref. fornecedor</t>
        </is>
      </c>
      <c r="D34" s="9" t="inlineStr">
        <is>
          <t>Observação</t>
        </is>
      </c>
    </row>
    <row r="35">
      <c r="A35" s="10" t="inlineStr">
        <is>
          <t>Bege</t>
        </is>
      </c>
      <c r="B35" s="10" t="inlineStr">
        <is>
          <t>BGE</t>
        </is>
      </c>
      <c r="C35" s="10" t="inlineStr">
        <is>
          <t>—</t>
        </is>
      </c>
      <c r="D35" s="14" t="inlineStr">
        <is>
          <t>⚠️ Fotos em caramelo — é este?</t>
        </is>
      </c>
    </row>
    <row r="36">
      <c r="A36" s="10" t="inlineStr">
        <is>
          <t>Preto</t>
        </is>
      </c>
      <c r="B36" s="10" t="inlineStr">
        <is>
          <t>PRT</t>
        </is>
      </c>
      <c r="C36" s="10" t="inlineStr">
        <is>
          <t>—</t>
        </is>
      </c>
      <c r="D36" s="10" t="inlineStr"/>
    </row>
    <row r="37">
      <c r="A37" s="10" t="inlineStr">
        <is>
          <t>Azul Bebê</t>
        </is>
      </c>
      <c r="B37" s="10" t="inlineStr">
        <is>
          <t>AZB</t>
        </is>
      </c>
      <c r="C37" s="10" t="inlineStr">
        <is>
          <t>—</t>
        </is>
      </c>
      <c r="D37" s="10" t="inlineStr"/>
    </row>
    <row r="38">
      <c r="A38" s="10" t="inlineStr">
        <is>
          <t>Laranja</t>
        </is>
      </c>
      <c r="B38" s="10" t="inlineStr">
        <is>
          <t>LAR</t>
        </is>
      </c>
      <c r="C38" s="10" t="inlineStr">
        <is>
          <t>—</t>
        </is>
      </c>
      <c r="D38" s="10" t="inlineStr"/>
    </row>
    <row r="39">
      <c r="A39" s="10" t="inlineStr">
        <is>
          <t>Verde</t>
        </is>
      </c>
      <c r="B39" s="10" t="inlineStr">
        <is>
          <t>VRD</t>
        </is>
      </c>
      <c r="C39" s="10" t="inlineStr">
        <is>
          <t>—</t>
        </is>
      </c>
      <c r="D39" s="10" t="inlineStr"/>
    </row>
    <row r="40" ht="30" customHeight="1">
      <c r="A40" s="2" t="inlineStr">
        <is>
          <t>Mockup do fornecedor mostra off white (fora da lista). Sem códigos de referência.</t>
        </is>
      </c>
    </row>
    <row r="42">
      <c r="A42" s="27" t="inlineStr">
        <is>
          <t>5. Personalização (preço sempre sob orçamento)</t>
        </is>
      </c>
      <c r="B42" s="28" t="n"/>
      <c r="C42" s="28" t="n"/>
      <c r="D42" s="28" t="n"/>
      <c r="E42" s="28" t="n"/>
      <c r="F42" s="28" t="n"/>
    </row>
    <row r="43">
      <c r="A43" s="9" t="inlineStr">
        <is>
          <t>Técnica</t>
        </is>
      </c>
      <c r="B43" s="9" t="inlineStr">
        <is>
          <t>Detalhe</t>
        </is>
      </c>
      <c r="C43" s="9" t="inlineStr">
        <is>
          <t>Mínimo</t>
        </is>
      </c>
    </row>
    <row r="44">
      <c r="A44" s="10" t="inlineStr">
        <is>
          <t>Silk</t>
        </is>
      </c>
      <c r="B44" s="10" t="inlineStr">
        <is>
          <t>Testar aderência</t>
        </is>
      </c>
      <c r="C44" s="10" t="inlineStr">
        <is>
          <t>20 pç?</t>
        </is>
      </c>
    </row>
    <row r="45">
      <c r="A45" s="10" t="inlineStr">
        <is>
          <t>DTF</t>
        </is>
      </c>
      <c r="B45" s="10" t="inlineStr">
        <is>
          <t>Testar aderência</t>
        </is>
      </c>
      <c r="C45" s="10" t="inlineStr">
        <is>
          <t>20 pç?</t>
        </is>
      </c>
    </row>
    <row r="46">
      <c r="A46" s="10" t="inlineStr">
        <is>
          <t>Bordado</t>
        </is>
      </c>
      <c r="B46" s="10" t="inlineStr"/>
      <c r="C46" s="10" t="inlineStr">
        <is>
          <t>20 pç?</t>
        </is>
      </c>
    </row>
    <row r="47">
      <c r="A47" s="10" t="inlineStr">
        <is>
          <t>Etiqueta private label</t>
        </is>
      </c>
      <c r="B47" s="10" t="inlineStr"/>
      <c r="C47" s="10" t="inlineStr">
        <is>
          <t>20 pç?</t>
        </is>
      </c>
    </row>
    <row r="49">
      <c r="A49" s="27" t="inlineStr">
        <is>
          <t>6. Preços do fornecedor (desconto progressivo)</t>
        </is>
      </c>
      <c r="B49" s="28" t="n"/>
      <c r="C49" s="28" t="n"/>
      <c r="D49" s="28" t="n"/>
      <c r="E49" s="28" t="n"/>
      <c r="F49" s="28" t="n"/>
    </row>
    <row r="50">
      <c r="A50" s="24" t="inlineStr">
        <is>
          <t>Preço base (R$)</t>
        </is>
      </c>
      <c r="B50" s="31" t="n">
        <v>44.8</v>
      </c>
    </row>
    <row r="51">
      <c r="A51" s="17" t="inlineStr">
        <is>
          <t>Faixa</t>
        </is>
      </c>
      <c r="B51" s="17" t="inlineStr">
        <is>
          <t>Peças</t>
        </is>
      </c>
      <c r="C51" s="17" t="inlineStr">
        <is>
          <t>Desconto</t>
        </is>
      </c>
      <c r="D51" s="17" t="inlineStr">
        <is>
          <t>Preço unitário</t>
        </is>
      </c>
      <c r="E51" s="17" t="inlineStr">
        <is>
          <t>Preço + Pix</t>
        </is>
      </c>
    </row>
    <row r="52">
      <c r="A52" s="18" t="inlineStr">
        <is>
          <t>Faixa 1</t>
        </is>
      </c>
      <c r="B52" s="18" t="inlineStr">
        <is>
          <t>20–40</t>
        </is>
      </c>
      <c r="C52" s="32">
        <f>'Regras Fornecedor'!$D$4</f>
        <v/>
      </c>
      <c r="D52" s="33">
        <f>ROUND($B$50*(1-C52),2)</f>
        <v/>
      </c>
      <c r="E52" s="34">
        <f>ROUND(D52*(1-'Regras Fornecedor'!$B$10),2)</f>
        <v/>
      </c>
    </row>
    <row r="53">
      <c r="A53" s="18" t="inlineStr">
        <is>
          <t>Faixa 2</t>
        </is>
      </c>
      <c r="B53" s="18" t="inlineStr">
        <is>
          <t>40–80</t>
        </is>
      </c>
      <c r="C53" s="32">
        <f>'Regras Fornecedor'!$D$5</f>
        <v/>
      </c>
      <c r="D53" s="33">
        <f>ROUND($B$50*(1-C53),2)</f>
        <v/>
      </c>
      <c r="E53" s="34">
        <f>ROUND(D53*(1-'Regras Fornecedor'!$B$10),2)</f>
        <v/>
      </c>
    </row>
    <row r="54">
      <c r="A54" s="18" t="inlineStr">
        <is>
          <t>Faixa 3</t>
        </is>
      </c>
      <c r="B54" s="18" t="inlineStr">
        <is>
          <t>80–100</t>
        </is>
      </c>
      <c r="C54" s="32">
        <f>'Regras Fornecedor'!$D$6</f>
        <v/>
      </c>
      <c r="D54" s="33">
        <f>ROUND($B$50*(1-C54),2)</f>
        <v/>
      </c>
      <c r="E54" s="34">
        <f>ROUND(D54*(1-'Regras Fornecedor'!$B$10),2)</f>
        <v/>
      </c>
    </row>
    <row r="55">
      <c r="A55" s="18" t="inlineStr">
        <is>
          <t>Faixa 4</t>
        </is>
      </c>
      <c r="B55" s="18" t="inlineStr">
        <is>
          <t>100–300</t>
        </is>
      </c>
      <c r="C55" s="32">
        <f>'Regras Fornecedor'!$D$7</f>
        <v/>
      </c>
      <c r="D55" s="33">
        <f>ROUND($B$50*(1-C55),2)</f>
        <v/>
      </c>
      <c r="E55" s="34">
        <f>ROUND(D55*(1-'Regras Fornecedor'!$B$10),2)</f>
        <v/>
      </c>
    </row>
    <row r="56">
      <c r="A56" s="18" t="inlineStr">
        <is>
          <t>Faixa 5</t>
        </is>
      </c>
      <c r="B56" s="18" t="inlineStr">
        <is>
          <t>300–999</t>
        </is>
      </c>
      <c r="C56" s="32">
        <f>'Regras Fornecedor'!$D$8</f>
        <v/>
      </c>
      <c r="D56" s="33">
        <f>ROUND($B$50*(1-C56),2)</f>
        <v/>
      </c>
      <c r="E56" s="34">
        <f>ROUND(D56*(1-'Regras Fornecedor'!$B$10),2)</f>
        <v/>
      </c>
    </row>
    <row r="58">
      <c r="A58" s="27" t="inlineStr">
        <is>
          <t>7. Custo HMZT e margem (lote de 20 peças, Pix)</t>
        </is>
      </c>
      <c r="B58" s="28" t="n"/>
      <c r="C58" s="28" t="n"/>
      <c r="D58" s="28" t="n"/>
      <c r="E58" s="28" t="n"/>
      <c r="F58" s="28" t="n"/>
    </row>
    <row r="59">
      <c r="A59" s="24" t="inlineStr">
        <is>
          <t>Peça (20 pç, Pix)</t>
        </is>
      </c>
      <c r="B59" s="35">
        <f>E52</f>
        <v/>
      </c>
    </row>
    <row r="60">
      <c r="A60" s="24" t="inlineStr">
        <is>
          <t>Personalização + etiqueta + tag (R$/pç)</t>
        </is>
      </c>
      <c r="B60" s="36" t="n">
        <v>10</v>
      </c>
      <c r="C60" s="15" t="inlineStr">
        <is>
          <t>Estimativa HMZT — trocar pelo orçamento real</t>
        </is>
      </c>
    </row>
    <row r="61">
      <c r="A61" s="24" t="inlineStr">
        <is>
          <t>Frete rateado + embalagem (R$/pç)</t>
        </is>
      </c>
      <c r="B61" s="36" t="n">
        <v>4</v>
      </c>
      <c r="C61" s="15" t="inlineStr">
        <is>
          <t>Estimativa HMZT — trocar pelo orçamento real</t>
        </is>
      </c>
    </row>
    <row r="62">
      <c r="A62" s="24" t="inlineStr">
        <is>
          <t>Custo unitário estimado</t>
        </is>
      </c>
      <c r="B62" s="37">
        <f>SUM(B59:B61)</f>
        <v/>
      </c>
    </row>
    <row r="63">
      <c r="A63" s="24" t="inlineStr">
        <is>
          <t>Preço de venda HMZT (R$)</t>
        </is>
      </c>
      <c r="B63" s="36" t="n">
        <v>129</v>
      </c>
      <c r="C63" s="15" t="inlineStr">
        <is>
          <t>Sugestão do dossiê — ajustar</t>
        </is>
      </c>
    </row>
    <row r="64">
      <c r="A64" s="24" t="inlineStr">
        <is>
          <t>Impostos + gateway (% do preço)</t>
        </is>
      </c>
      <c r="B64" s="38" t="n">
        <v>0</v>
      </c>
      <c r="C64" s="15" t="inlineStr">
        <is>
          <t>A preencher (Simples + taxa Asaas)</t>
        </is>
      </c>
    </row>
    <row r="65">
      <c r="A65" s="24" t="inlineStr">
        <is>
          <t>Margem bruta (R$)</t>
        </is>
      </c>
      <c r="B65" s="35">
        <f>B63-B62</f>
        <v/>
      </c>
    </row>
    <row r="66">
      <c r="A66" s="24" t="inlineStr">
        <is>
          <t>Margem bruta (%)</t>
        </is>
      </c>
      <c r="B66" s="39">
        <f>IF(B63=0,0,(B63-B62)/B63)</f>
        <v/>
      </c>
    </row>
    <row r="67">
      <c r="A67" s="24" t="inlineStr">
        <is>
          <t>Margem após impostos/gateway (%)</t>
        </is>
      </c>
      <c r="B67" s="39">
        <f>IF(B63=0,0,(B63*(1-B64)-B62)/B63)</f>
        <v/>
      </c>
      <c r="C67" s="15" t="inlineStr">
        <is>
          <t>Ainda sem frete ao cliente e mídia</t>
        </is>
      </c>
    </row>
    <row r="69">
      <c r="A69" s="27" t="inlineStr">
        <is>
          <t>8. Contradições e erros ⚠️</t>
        </is>
      </c>
      <c r="B69" s="28" t="n"/>
      <c r="C69" s="28" t="n"/>
      <c r="D69" s="28" t="n"/>
      <c r="E69" s="28" t="n"/>
      <c r="F69" s="28" t="n"/>
    </row>
    <row r="70">
      <c r="A70" s="8" t="inlineStr">
        <is>
          <t>⚠️ "Textura que não existe em outra composição" — P01/P04 também são suedine</t>
        </is>
      </c>
    </row>
    <row r="71">
      <c r="A71" s="8" t="inlineStr">
        <is>
          <t>⚠️ FAQ diz que a Suedine 300g é oversized (existe a regular)</t>
        </is>
      </c>
    </row>
    <row r="72">
      <c r="A72" s="8" t="inlineStr">
        <is>
          <t>⚠️ Caramelo nas fotos × Bege na lista</t>
        </is>
      </c>
    </row>
    <row r="73">
      <c r="A73" s="8" t="inlineStr">
        <is>
          <t>⚠️ Sem gramatura, % e condições de pagamento</t>
        </is>
      </c>
    </row>
    <row r="75">
      <c r="A75" s="27" t="inlineStr">
        <is>
          <t>9. Comunicação HMZT</t>
        </is>
      </c>
      <c r="B75" s="28" t="n"/>
      <c r="C75" s="28" t="n"/>
      <c r="D75" s="28" t="n"/>
      <c r="E75" s="28" t="n"/>
      <c r="F75" s="28" t="n"/>
    </row>
    <row r="76">
      <c r="A76" s="24" t="inlineStr">
        <is>
          <t>✅ Pode usar</t>
        </is>
      </c>
      <c r="D76" s="24" t="inlineStr">
        <is>
          <t>📣 / ⛔ Não usar</t>
        </is>
      </c>
    </row>
    <row r="77">
      <c r="A77" s="40" t="inlineStr">
        <is>
          <t>Toque aveludado de suedine em malha leve</t>
        </is>
      </c>
      <c r="D77" s="8" t="inlineStr">
        <is>
          <t>"Premium antes de olhar a etiqueta"</t>
        </is>
      </c>
    </row>
    <row r="78">
      <c r="A78" s="40" t="inlineStr">
        <is>
          <t>Pré-encolhida</t>
        </is>
      </c>
      <c r="D78" s="8" t="inlineStr">
        <is>
          <t>"Não bole"</t>
        </is>
      </c>
    </row>
    <row r="79">
      <c r="A79" s="40" t="inlineStr">
        <is>
          <t>Composição exata só depois de informada</t>
        </is>
      </c>
    </row>
    <row r="81">
      <c r="A81" s="27" t="inlineStr">
        <is>
          <t>10. Pendências com o fornecedor</t>
        </is>
      </c>
      <c r="B81" s="28" t="n"/>
      <c r="C81" s="28" t="n"/>
      <c r="D81" s="28" t="n"/>
      <c r="E81" s="28" t="n"/>
      <c r="F81" s="28" t="n"/>
    </row>
    <row r="82">
      <c r="A82" s="9" t="inlineStr">
        <is>
          <t>Pendência</t>
        </is>
      </c>
      <c r="B82" s="9" t="inlineStr">
        <is>
          <t>Status</t>
        </is>
      </c>
      <c r="C82" s="9" t="inlineStr">
        <is>
          <t>Responsável</t>
        </is>
      </c>
      <c r="D82" s="9" t="inlineStr">
        <is>
          <t>Resposta</t>
        </is>
      </c>
    </row>
    <row r="83">
      <c r="A83" s="10" t="inlineStr">
        <is>
          <t>Gramatura em g/m²</t>
        </is>
      </c>
      <c r="B83" s="11" t="inlineStr">
        <is>
          <t>Aberta</t>
        </is>
      </c>
      <c r="C83" s="11" t="inlineStr"/>
      <c r="D83" s="11" t="inlineStr"/>
    </row>
    <row r="84">
      <c r="A84" s="10" t="inlineStr">
        <is>
          <t>Composição em %</t>
        </is>
      </c>
      <c r="B84" s="11" t="inlineStr">
        <is>
          <t>Aberta</t>
        </is>
      </c>
      <c r="C84" s="11" t="inlineStr"/>
      <c r="D84" s="11" t="inlineStr"/>
    </row>
    <row r="85">
      <c r="A85" s="10" t="inlineStr">
        <is>
          <t>Referências de cor / caramelo</t>
        </is>
      </c>
      <c r="B85" s="11" t="inlineStr">
        <is>
          <t>Aberta</t>
        </is>
      </c>
      <c r="C85" s="11" t="inlineStr"/>
      <c r="D85" s="11" t="inlineStr"/>
    </row>
    <row r="86">
      <c r="A86" s="10" t="inlineStr">
        <is>
          <t>Condições de pagamento</t>
        </is>
      </c>
      <c r="B86" s="11" t="inlineStr">
        <is>
          <t>Aberta</t>
        </is>
      </c>
      <c r="C86" s="11" t="inlineStr"/>
      <c r="D86" s="11" t="inlineStr"/>
    </row>
    <row r="87">
      <c r="A87" s="10" t="inlineStr">
        <is>
          <t>Mínimos e preço de personalização</t>
        </is>
      </c>
      <c r="B87" s="11" t="inlineStr">
        <is>
          <t>Aberta</t>
        </is>
      </c>
      <c r="C87" s="11" t="inlineStr"/>
      <c r="D87" s="11" t="inlineStr"/>
    </row>
    <row r="89">
      <c r="A89" s="27" t="inlineStr">
        <is>
          <t>11. Fluxo de prompts de lookbook (docs/shop-confeccao/prompts/P09-prompts.md)</t>
        </is>
      </c>
      <c r="B89" s="28" t="n"/>
      <c r="C89" s="28" t="n"/>
      <c r="D89" s="28" t="n"/>
      <c r="E89" s="28" t="n"/>
      <c r="F89" s="28" t="n"/>
    </row>
    <row r="90">
      <c r="A90" s="9" t="inlineStr">
        <is>
          <t>Foto</t>
        </is>
      </c>
      <c r="B90" s="9" t="inlineStr">
        <is>
          <t>Origem no print</t>
        </is>
      </c>
      <c r="C90" s="9" t="inlineStr">
        <is>
          <t>Formato</t>
        </is>
      </c>
      <c r="D90" s="9" t="inlineStr">
        <is>
          <t>Status</t>
        </is>
      </c>
    </row>
    <row r="91">
      <c r="A91" s="10" t="inlineStr">
        <is>
          <t>F1 — Hero 3/4 enrolando a manga</t>
        </is>
      </c>
      <c r="B91" s="10" t="inlineStr">
        <is>
          <t>Foto principal e 1ª miniatura</t>
        </is>
      </c>
      <c r="C91" s="10" t="inlineStr">
        <is>
          <t>4:5</t>
        </is>
      </c>
      <c r="D91" s="11" t="inlineStr">
        <is>
          <t>A gerar</t>
        </is>
      </c>
    </row>
    <row r="92">
      <c r="A92" s="10" t="inlineStr">
        <is>
          <t>F2 — Detalhe gola e ombro</t>
        </is>
      </c>
      <c r="B92" s="10" t="inlineStr">
        <is>
          <t>2ª foto e 2ª miniatura</t>
        </is>
      </c>
      <c r="C92" s="10" t="inlineStr">
        <is>
          <t>4:5</t>
        </is>
      </c>
      <c r="D92" s="11" t="inlineStr">
        <is>
          <t>A gerar</t>
        </is>
      </c>
    </row>
    <row r="93">
      <c r="A93" s="10" t="inlineStr">
        <is>
          <t>F3 — Mockup de personalização (versão HMZT)</t>
        </is>
      </c>
      <c r="B93" s="10" t="inlineStr">
        <is>
          <t>3ª foto — no original é a arte promocional do fornecedor sobre peça off-white em modelo negro; aqui vira base lisa para arte HMZT</t>
        </is>
      </c>
      <c r="C93" s="10" t="inlineStr">
        <is>
          <t>4:5</t>
        </is>
      </c>
      <c r="D93" s="11" t="inlineStr">
        <is>
          <t>A gerar</t>
        </is>
      </c>
    </row>
  </sheetData>
  <mergeCells count="26">
    <mergeCell ref="B4:F4"/>
    <mergeCell ref="B7:F7"/>
    <mergeCell ref="B15:E15"/>
    <mergeCell ref="B20:E20"/>
    <mergeCell ref="D78:F78"/>
    <mergeCell ref="A71:F71"/>
    <mergeCell ref="B11:F11"/>
    <mergeCell ref="B16:E16"/>
    <mergeCell ref="B8:F8"/>
    <mergeCell ref="A72:F72"/>
    <mergeCell ref="B18:E18"/>
    <mergeCell ref="B10:F10"/>
    <mergeCell ref="B21:E21"/>
    <mergeCell ref="A40:F40"/>
    <mergeCell ref="A77:C77"/>
    <mergeCell ref="A30:F30"/>
    <mergeCell ref="B9:F9"/>
    <mergeCell ref="A73:F73"/>
    <mergeCell ref="B17:E17"/>
    <mergeCell ref="B6:F6"/>
    <mergeCell ref="A79:C79"/>
    <mergeCell ref="A70:F70"/>
    <mergeCell ref="B5:F5"/>
    <mergeCell ref="A78:C78"/>
    <mergeCell ref="B19:E19"/>
    <mergeCell ref="D77:F7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P10 — Camiseta Oversized Básica Suedine 300GSM (100% algodão)</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HMZT-P10-OVS-SUEALG300</t>
        </is>
      </c>
    </row>
    <row r="5">
      <c r="A5" s="24" t="inlineStr">
        <is>
          <t>Fornecedor</t>
        </is>
      </c>
      <c r="B5" s="2" t="inlineStr">
        <is>
          <t>Lunfe Malhas — fabricação própria, Itajaí-SC</t>
        </is>
      </c>
    </row>
    <row r="6">
      <c r="A6" s="24" t="inlineStr">
        <is>
          <t>Referência</t>
        </is>
      </c>
      <c r="B6" s="2" t="inlineStr">
        <is>
          <t>7896630253786</t>
        </is>
      </c>
    </row>
    <row r="7">
      <c r="A7" s="24" t="inlineStr">
        <is>
          <t>URL</t>
        </is>
      </c>
      <c r="B7" s="2" t="inlineStr">
        <is>
          <t>lunfemalhas.com.br/camiseta-oversized-basica-lunfe-399</t>
        </is>
      </c>
    </row>
    <row r="8">
      <c r="A8" s="24" t="inlineStr">
        <is>
          <t>Categoria no site</t>
        </is>
      </c>
      <c r="B8" s="2" t="inlineStr">
        <is>
          <t>Camisetas › Masculino › Oversized</t>
        </is>
      </c>
    </row>
    <row r="9">
      <c r="A9" s="24" t="inlineStr">
        <is>
          <t>Linha HMZT recomendada</t>
        </is>
      </c>
      <c r="B9" s="2" t="inlineStr">
        <is>
          <t>Heavy — oversized (alternativa mais barata à P01)</t>
        </is>
      </c>
    </row>
    <row r="10">
      <c r="A10" s="24" t="inlineStr">
        <is>
          <t>Estoque</t>
        </is>
      </c>
      <c r="B10" s="2" t="inlineStr">
        <is>
          <t>6 cores no seletor; sem campo de disponibilidade; texto diz 'estoque limitado'</t>
        </is>
      </c>
    </row>
    <row r="11">
      <c r="A11" s="24" t="inlineStr">
        <is>
          <t>Descritor canônico (IA)</t>
        </is>
      </c>
      <c r="B11" s="2" t="inlineStr">
        <is>
          <t>Camiseta masculina oversized boxy heavyweight, ombro bem caído no braço, manga curta larga até o cotovelo, gola careca de ribana canelada larga (2,5 cm), malha encorpada de 300 g/m² com superfície fosca e macia, corpo amplo e quadrado que se sustenta, barra reta abaixo do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Tecido</t>
        </is>
      </c>
      <c r="B15" s="10" t="inlineStr">
        <is>
          <t>Malha suedine 'interlock de dupla frontura'</t>
        </is>
      </c>
      <c r="C15" s="29" t="n"/>
      <c r="D15" s="29" t="n"/>
      <c r="E15" s="30" t="n"/>
    </row>
    <row r="16">
      <c r="A16" s="10" t="inlineStr">
        <is>
          <t>Composição</t>
        </is>
      </c>
      <c r="B16" s="10" t="inlineStr">
        <is>
          <t>100% algodão (P01, também suedine 300g, é 52/48)</t>
        </is>
      </c>
      <c r="C16" s="29" t="n"/>
      <c r="D16" s="29" t="n"/>
      <c r="E16" s="30" t="n"/>
    </row>
    <row r="17">
      <c r="A17" s="10" t="inlineStr">
        <is>
          <t>Gramatura</t>
        </is>
      </c>
      <c r="B17" s="10" t="inlineStr">
        <is>
          <t>300 g/m², zero transparência</t>
        </is>
      </c>
      <c r="C17" s="29" t="n"/>
      <c r="D17" s="29" t="n"/>
      <c r="E17" s="30" t="n"/>
    </row>
    <row r="18">
      <c r="A18" s="10" t="inlineStr">
        <is>
          <t>Toque</t>
        </is>
      </c>
      <c r="B18" s="10" t="inlineStr">
        <is>
          <t>'Aveludado / pele de pêssego' e 'acetinado' na mesma página</t>
        </is>
      </c>
      <c r="C18" s="29" t="n"/>
      <c r="D18" s="29" t="n"/>
      <c r="E18" s="30" t="n"/>
    </row>
    <row r="19">
      <c r="A19" s="10" t="inlineStr">
        <is>
          <t>Gola</t>
        </is>
      </c>
      <c r="B19" s="10" t="inlineStr">
        <is>
          <t>Ribana canelada 2,5 cm, alta densidade</t>
        </is>
      </c>
      <c r="C19" s="29" t="n"/>
      <c r="D19" s="29" t="n"/>
      <c r="E19" s="30" t="n"/>
    </row>
    <row r="20">
      <c r="A20" s="10" t="inlineStr">
        <is>
          <t>Reforço</t>
        </is>
      </c>
      <c r="B20" s="10" t="inlineStr">
        <is>
          <t>Ombro a ombro</t>
        </is>
      </c>
      <c r="C20" s="29" t="n"/>
      <c r="D20" s="29" t="n"/>
      <c r="E20" s="30" t="n"/>
    </row>
    <row r="21">
      <c r="A21" s="10" t="inlineStr">
        <is>
          <t>Modelagem</t>
        </is>
      </c>
      <c r="B21" s="10" t="inlineStr">
        <is>
          <t>True oversized boxy, ombros caídos</t>
        </is>
      </c>
      <c r="C21" s="29" t="n"/>
      <c r="D21" s="29" t="n"/>
      <c r="E21" s="30" t="n"/>
    </row>
    <row r="22">
      <c r="A22" s="10" t="inlineStr">
        <is>
          <t>Tamanhos</t>
        </is>
      </c>
      <c r="B22" s="10" t="inlineStr">
        <is>
          <t>Não informados</t>
        </is>
      </c>
      <c r="C22" s="29" t="n"/>
      <c r="D22" s="29" t="n"/>
      <c r="E22" s="30" t="n"/>
    </row>
    <row r="23">
      <c r="A23" s="10" t="inlineStr">
        <is>
          <t>Autoridade</t>
        </is>
      </c>
      <c r="B23" s="10" t="inlineStr">
        <is>
          <t>'Elimina qualquer objeção de preço', 'vicia o cliente'</t>
        </is>
      </c>
      <c r="C23" s="29" t="n"/>
      <c r="D23" s="29" t="n"/>
      <c r="E23" s="30" t="n"/>
    </row>
    <row r="24">
      <c r="A24" s="10" t="inlineStr">
        <is>
          <t>Produção</t>
        </is>
      </c>
      <c r="B24" s="10" t="inlineStr">
        <is>
          <t>Fabricação própria — Itajaí, SC</t>
        </is>
      </c>
      <c r="C24" s="29" t="n"/>
      <c r="D24" s="29" t="n"/>
      <c r="E24" s="30" t="n"/>
    </row>
    <row r="26">
      <c r="A26" s="27" t="inlineStr">
        <is>
          <t>3. Tabela de medidas (cm)</t>
        </is>
      </c>
      <c r="B26" s="28" t="n"/>
      <c r="C26" s="28" t="n"/>
      <c r="D26" s="28" t="n"/>
      <c r="E26" s="28" t="n"/>
      <c r="F26" s="28" t="n"/>
    </row>
    <row r="27" ht="30" customHeight="1">
      <c r="A27" s="8" t="inlineStr">
        <is>
          <t>⚠️ Tabela de medidas não publicada. Modelo 1,84 m / 84 kg veste M. Pelas fotos é mais boxy que a P02 (ombro 6–8 cm no braço, manga no cotovelo). Não publicar medidas sem a tabela oficial.</t>
        </is>
      </c>
    </row>
    <row r="28">
      <c r="A28" s="15" t="inlineStr">
        <is>
          <t>Modelo das fotos: 1,84 m · 84 kg · veste M</t>
        </is>
      </c>
    </row>
    <row r="30">
      <c r="A30" s="27" t="inlineStr">
        <is>
          <t>4. Cores disponíveis</t>
        </is>
      </c>
      <c r="B30" s="28" t="n"/>
      <c r="C30" s="28" t="n"/>
      <c r="D30" s="28" t="n"/>
      <c r="E30" s="28" t="n"/>
      <c r="F30" s="28" t="n"/>
    </row>
    <row r="31">
      <c r="A31" s="9" t="inlineStr">
        <is>
          <t>Cor</t>
        </is>
      </c>
      <c r="B31" s="9" t="inlineStr">
        <is>
          <t>Código HMZT</t>
        </is>
      </c>
      <c r="C31" s="9" t="inlineStr">
        <is>
          <t>Ref. fornecedor</t>
        </is>
      </c>
      <c r="D31" s="9" t="inlineStr">
        <is>
          <t>Observação</t>
        </is>
      </c>
    </row>
    <row r="32">
      <c r="A32" s="10" t="inlineStr">
        <is>
          <t>Preto</t>
        </is>
      </c>
      <c r="B32" s="10" t="inlineStr">
        <is>
          <t>PRT</t>
        </is>
      </c>
      <c r="C32" s="10" t="inlineStr">
        <is>
          <t>—</t>
        </is>
      </c>
      <c r="D32" s="10" t="inlineStr">
        <is>
          <t>Fotos #14–15</t>
        </is>
      </c>
    </row>
    <row r="33">
      <c r="A33" s="10" t="inlineStr">
        <is>
          <t>Branco</t>
        </is>
      </c>
      <c r="B33" s="10" t="inlineStr">
        <is>
          <t>BCO</t>
        </is>
      </c>
      <c r="C33" s="10" t="inlineStr">
        <is>
          <t>—</t>
        </is>
      </c>
      <c r="D33" s="10" t="inlineStr">
        <is>
          <t>Fotos #5–8</t>
        </is>
      </c>
    </row>
    <row r="34">
      <c r="A34" s="10" t="inlineStr">
        <is>
          <t>Cinza</t>
        </is>
      </c>
      <c r="B34" s="10" t="inlineStr">
        <is>
          <t>CZA</t>
        </is>
      </c>
      <c r="C34" s="10" t="inlineStr">
        <is>
          <t>—</t>
        </is>
      </c>
      <c r="D34" s="10" t="inlineStr">
        <is>
          <t>Cinza médio/chumbo, fotos #1–4</t>
        </is>
      </c>
    </row>
    <row r="35">
      <c r="A35" s="10" t="inlineStr">
        <is>
          <t>Bege</t>
        </is>
      </c>
      <c r="B35" s="10" t="inlineStr">
        <is>
          <t>BGE</t>
        </is>
      </c>
      <c r="C35" s="10" t="inlineStr">
        <is>
          <t>—</t>
        </is>
      </c>
      <c r="D35" s="10" t="inlineStr">
        <is>
          <t>Sem foto</t>
        </is>
      </c>
    </row>
    <row r="36">
      <c r="A36" s="10" t="inlineStr">
        <is>
          <t>Azul Marinho</t>
        </is>
      </c>
      <c r="B36" s="10" t="inlineStr">
        <is>
          <t>MAR</t>
        </is>
      </c>
      <c r="C36" s="10" t="inlineStr">
        <is>
          <t>—</t>
        </is>
      </c>
      <c r="D36" s="10" t="inlineStr">
        <is>
          <t>Sem foto</t>
        </is>
      </c>
    </row>
    <row r="37">
      <c r="A37" s="10" t="inlineStr">
        <is>
          <t>Rose Gold</t>
        </is>
      </c>
      <c r="B37" s="10" t="inlineStr">
        <is>
          <t>RSG</t>
        </is>
      </c>
      <c r="C37" s="10" t="inlineStr">
        <is>
          <t>—</t>
        </is>
      </c>
      <c r="D37" s="10" t="inlineStr">
        <is>
          <t>Rosé empoeirado, fotos #9–13</t>
        </is>
      </c>
    </row>
    <row r="38" ht="30" customHeight="1">
      <c r="A38" s="2" t="inlineStr">
        <is>
          <t>6 cores; fornecedor não publica refs. de cor nesta página. Bege e Azul Marinho sem foto.</t>
        </is>
      </c>
    </row>
    <row r="40">
      <c r="A40" s="27" t="inlineStr">
        <is>
          <t>5. Personalização (preço sempre sob orçamento)</t>
        </is>
      </c>
      <c r="B40" s="28" t="n"/>
      <c r="C40" s="28" t="n"/>
      <c r="D40" s="28" t="n"/>
      <c r="E40" s="28" t="n"/>
      <c r="F40" s="28" t="n"/>
    </row>
    <row r="41">
      <c r="A41" s="9" t="inlineStr">
        <is>
          <t>Técnica</t>
        </is>
      </c>
      <c r="B41" s="9" t="inlineStr">
        <is>
          <t>Detalhe</t>
        </is>
      </c>
      <c r="C41" s="9" t="inlineStr">
        <is>
          <t>Mínimo</t>
        </is>
      </c>
    </row>
    <row r="42">
      <c r="A42" s="10" t="inlineStr">
        <is>
          <t>Bordado</t>
        </is>
      </c>
      <c r="B42" s="10" t="inlineStr">
        <is>
          <t>Peito ou costas — melhor contraste sobre superfície escovada</t>
        </is>
      </c>
      <c r="C42" s="10" t="inlineStr">
        <is>
          <t>20 pç</t>
        </is>
      </c>
    </row>
    <row r="43">
      <c r="A43" s="10" t="inlineStr">
        <is>
          <t>DTF</t>
        </is>
      </c>
      <c r="B43" s="10" t="inlineStr">
        <is>
          <t>Full color — peça-teste de aderência</t>
        </is>
      </c>
      <c r="C43" s="10" t="inlineStr">
        <is>
          <t>20 pç</t>
        </is>
      </c>
    </row>
    <row r="44">
      <c r="A44" s="10" t="inlineStr">
        <is>
          <t>Silk base d'água</t>
        </is>
      </c>
      <c r="B44" s="10" t="inlineStr">
        <is>
          <t>Testar sobre o felpado</t>
        </is>
      </c>
      <c r="C44" s="10" t="inlineStr">
        <is>
          <t>20 pç</t>
        </is>
      </c>
    </row>
    <row r="45">
      <c r="A45" s="10" t="inlineStr">
        <is>
          <t>Etiqueta private label</t>
        </is>
      </c>
      <c r="B45" s="10" t="inlineStr">
        <is>
          <t>Interna + tag</t>
        </is>
      </c>
      <c r="C45" s="10" t="inlineStr">
        <is>
          <t>20 pç</t>
        </is>
      </c>
    </row>
    <row r="47">
      <c r="A47" s="27" t="inlineStr">
        <is>
          <t>6. Preços do fornecedor (desconto progressivo)</t>
        </is>
      </c>
      <c r="B47" s="28" t="n"/>
      <c r="C47" s="28" t="n"/>
      <c r="D47" s="28" t="n"/>
      <c r="E47" s="28" t="n"/>
      <c r="F47" s="28" t="n"/>
    </row>
    <row r="48">
      <c r="A48" s="24" t="inlineStr">
        <is>
          <t>Preço base (R$)</t>
        </is>
      </c>
      <c r="B48" s="31" t="n">
        <v>42</v>
      </c>
    </row>
    <row r="49">
      <c r="A49" s="17" t="inlineStr">
        <is>
          <t>Faixa</t>
        </is>
      </c>
      <c r="B49" s="17" t="inlineStr">
        <is>
          <t>Peças</t>
        </is>
      </c>
      <c r="C49" s="17" t="inlineStr">
        <is>
          <t>Desconto</t>
        </is>
      </c>
      <c r="D49" s="17" t="inlineStr">
        <is>
          <t>Preço unitário</t>
        </is>
      </c>
      <c r="E49" s="17" t="inlineStr">
        <is>
          <t>Preço + Pix</t>
        </is>
      </c>
    </row>
    <row r="50">
      <c r="A50" s="18" t="inlineStr">
        <is>
          <t>Faixa 1</t>
        </is>
      </c>
      <c r="B50" s="18" t="inlineStr">
        <is>
          <t>20–40</t>
        </is>
      </c>
      <c r="C50" s="32">
        <f>'Regras Fornecedor'!$D$4</f>
        <v/>
      </c>
      <c r="D50" s="33">
        <f>ROUND($B$48*(1-C50),2)</f>
        <v/>
      </c>
      <c r="E50" s="34">
        <f>ROUND(D50*(1-'Regras Fornecedor'!$B$10),2)</f>
        <v/>
      </c>
    </row>
    <row r="51">
      <c r="A51" s="18" t="inlineStr">
        <is>
          <t>Faixa 2</t>
        </is>
      </c>
      <c r="B51" s="18" t="inlineStr">
        <is>
          <t>40–80</t>
        </is>
      </c>
      <c r="C51" s="32">
        <f>'Regras Fornecedor'!$D$5</f>
        <v/>
      </c>
      <c r="D51" s="33">
        <f>ROUND($B$48*(1-C51),2)</f>
        <v/>
      </c>
      <c r="E51" s="34">
        <f>ROUND(D51*(1-'Regras Fornecedor'!$B$10),2)</f>
        <v/>
      </c>
    </row>
    <row r="52">
      <c r="A52" s="18" t="inlineStr">
        <is>
          <t>Faixa 3</t>
        </is>
      </c>
      <c r="B52" s="18" t="inlineStr">
        <is>
          <t>80–100</t>
        </is>
      </c>
      <c r="C52" s="32">
        <f>'Regras Fornecedor'!$D$6</f>
        <v/>
      </c>
      <c r="D52" s="33">
        <f>ROUND($B$48*(1-C52),2)</f>
        <v/>
      </c>
      <c r="E52" s="34">
        <f>ROUND(D52*(1-'Regras Fornecedor'!$B$10),2)</f>
        <v/>
      </c>
    </row>
    <row r="53">
      <c r="A53" s="18" t="inlineStr">
        <is>
          <t>Faixa 4</t>
        </is>
      </c>
      <c r="B53" s="18" t="inlineStr">
        <is>
          <t>100–300</t>
        </is>
      </c>
      <c r="C53" s="32">
        <f>'Regras Fornecedor'!$D$7</f>
        <v/>
      </c>
      <c r="D53" s="33">
        <f>ROUND($B$48*(1-C53),2)</f>
        <v/>
      </c>
      <c r="E53" s="34">
        <f>ROUND(D53*(1-'Regras Fornecedor'!$B$10),2)</f>
        <v/>
      </c>
    </row>
    <row r="54">
      <c r="A54" s="18" t="inlineStr">
        <is>
          <t>Faixa 5</t>
        </is>
      </c>
      <c r="B54" s="18" t="inlineStr">
        <is>
          <t>300–999</t>
        </is>
      </c>
      <c r="C54" s="32">
        <f>'Regras Fornecedor'!$D$8</f>
        <v/>
      </c>
      <c r="D54" s="33">
        <f>ROUND($B$48*(1-C54),2)</f>
        <v/>
      </c>
      <c r="E54" s="34">
        <f>ROUND(D54*(1-'Regras Fornecedor'!$B$10),2)</f>
        <v/>
      </c>
    </row>
    <row r="56">
      <c r="A56" s="27" t="inlineStr">
        <is>
          <t>7. Custo HMZT e margem (lote de 20 peças, Pix)</t>
        </is>
      </c>
      <c r="B56" s="28" t="n"/>
      <c r="C56" s="28" t="n"/>
      <c r="D56" s="28" t="n"/>
      <c r="E56" s="28" t="n"/>
      <c r="F56" s="28" t="n"/>
    </row>
    <row r="57">
      <c r="A57" s="24" t="inlineStr">
        <is>
          <t>Peça (20 pç, Pix)</t>
        </is>
      </c>
      <c r="B57" s="35">
        <f>E50</f>
        <v/>
      </c>
    </row>
    <row r="58">
      <c r="A58" s="24" t="inlineStr">
        <is>
          <t>Personalização + etiqueta + tag (R$/pç)</t>
        </is>
      </c>
      <c r="B58" s="36" t="n">
        <v>14</v>
      </c>
      <c r="C58" s="15" t="inlineStr">
        <is>
          <t>Estimativa HMZT — trocar pelo orçamento real</t>
        </is>
      </c>
    </row>
    <row r="59">
      <c r="A59" s="24" t="inlineStr">
        <is>
          <t>Frete rateado + embalagem (R$/pç)</t>
        </is>
      </c>
      <c r="B59" s="36" t="n">
        <v>5</v>
      </c>
      <c r="C59" s="15" t="inlineStr">
        <is>
          <t>Estimativa HMZT — trocar pelo orçamento real</t>
        </is>
      </c>
    </row>
    <row r="60">
      <c r="A60" s="24" t="inlineStr">
        <is>
          <t>Custo unitário estimado</t>
        </is>
      </c>
      <c r="B60" s="37">
        <f>SUM(B57:B59)</f>
        <v/>
      </c>
    </row>
    <row r="61">
      <c r="A61" s="24" t="inlineStr">
        <is>
          <t>Preço de venda HMZT (R$)</t>
        </is>
      </c>
      <c r="B61" s="36" t="n">
        <v>159</v>
      </c>
      <c r="C61" s="15" t="inlineStr">
        <is>
          <t>Sugestão do dossiê — ajustar</t>
        </is>
      </c>
    </row>
    <row r="62">
      <c r="A62" s="24" t="inlineStr">
        <is>
          <t>Impostos + gateway (% do preço)</t>
        </is>
      </c>
      <c r="B62" s="38" t="n">
        <v>0</v>
      </c>
      <c r="C62" s="15" t="inlineStr">
        <is>
          <t>A preencher (Simples + taxa Asaas)</t>
        </is>
      </c>
    </row>
    <row r="63">
      <c r="A63" s="24" t="inlineStr">
        <is>
          <t>Margem bruta (R$)</t>
        </is>
      </c>
      <c r="B63" s="35">
        <f>B61-B60</f>
        <v/>
      </c>
    </row>
    <row r="64">
      <c r="A64" s="24" t="inlineStr">
        <is>
          <t>Margem bruta (%)</t>
        </is>
      </c>
      <c r="B64" s="39">
        <f>IF(B61=0,0,(B61-B60)/B61)</f>
        <v/>
      </c>
    </row>
    <row r="65">
      <c r="A65" s="24" t="inlineStr">
        <is>
          <t>Margem após impostos/gateway (%)</t>
        </is>
      </c>
      <c r="B65" s="39">
        <f>IF(B61=0,0,(B61*(1-B62)-B60)/B61)</f>
        <v/>
      </c>
      <c r="C65" s="15" t="inlineStr">
        <is>
          <t>Ainda sem frete ao cliente e mídia</t>
        </is>
      </c>
    </row>
    <row r="67">
      <c r="A67" s="27" t="inlineStr">
        <is>
          <t>8. Contradições e erros ⚠️</t>
        </is>
      </c>
      <c r="B67" s="28" t="n"/>
      <c r="C67" s="28" t="n"/>
      <c r="D67" s="28" t="n"/>
      <c r="E67" s="28" t="n"/>
      <c r="F67" s="28" t="n"/>
    </row>
    <row r="68">
      <c r="A68" s="8" t="inlineStr">
        <is>
          <t>⚠️ Composição 100% algodão, R$ 42,00 × P01 (Oversized Suedine Peruano 300g) 52% algodão/48% poliéster, R$ 54,00.</t>
        </is>
      </c>
    </row>
    <row r="69">
      <c r="A69" s="8" t="inlineStr">
        <is>
          <t>⚠️ O comparativo da P02 ('Oversized Suedine 300g — 100% CO, R$ 42,00, 6 cores, mín. R$ 29,40') descreve esta P10, não a P01.</t>
        </is>
      </c>
    </row>
    <row r="70">
      <c r="A70" s="8" t="inlineStr">
        <is>
          <t>⚠️ Resumo: 'atacado a partir de R$ 28,99'; tabela: R$ 29,40 (= 42,00 × 0,70). R$ 28,99 é o preço base da P11.</t>
        </is>
      </c>
    </row>
    <row r="71">
      <c r="A71" s="8" t="inlineStr">
        <is>
          <t>⚠️ Suedine descrita como interlock de dupla frontura; nos dossiês P04/P09 é malha escovada (peach finish).</t>
        </is>
      </c>
    </row>
    <row r="72">
      <c r="A72" s="8" t="inlineStr">
        <is>
          <t>⚠️ 'Peletização' não é termo técnico; o processo é escovação/lixamento.</t>
        </is>
      </c>
    </row>
    <row r="73">
      <c r="A73" s="8" t="inlineStr">
        <is>
          <t>⚠️ Título diz 'toque acetinado'; texto diz 'aveludado/pele de pêssego' — opostos.</t>
        </is>
      </c>
    </row>
    <row r="74">
      <c r="A74" s="8" t="inlineStr">
        <is>
          <t>⚠️ Aba chama de 'Malhão Suedine'; a P12 é 'Malhão Compact', outra malha.</t>
        </is>
      </c>
    </row>
    <row r="75">
      <c r="A75" s="8" t="inlineStr">
        <is>
          <t>⚠️ Fotos mostram superfície fosca e lisa, sem felpado visível.</t>
        </is>
      </c>
    </row>
    <row r="77">
      <c r="A77" s="27" t="inlineStr">
        <is>
          <t>9. Comunicação HMZT</t>
        </is>
      </c>
      <c r="B77" s="28" t="n"/>
      <c r="C77" s="28" t="n"/>
      <c r="D77" s="28" t="n"/>
      <c r="E77" s="28" t="n"/>
      <c r="F77" s="28" t="n"/>
    </row>
    <row r="78">
      <c r="A78" s="24" t="inlineStr">
        <is>
          <t>✅ Pode usar</t>
        </is>
      </c>
      <c r="D78" s="24" t="inlineStr">
        <is>
          <t>📣 / ⛔ Não usar</t>
        </is>
      </c>
    </row>
    <row r="79">
      <c r="A79" s="40" t="inlineStr">
        <is>
          <t>Malha heavyweight de 300 g/m², opaca.</t>
        </is>
      </c>
      <c r="D79" s="8" t="inlineStr">
        <is>
          <t>Gera autoridade / elimina qualquer objeção de preço / vicia o cliente / fideliza.</t>
        </is>
      </c>
    </row>
    <row r="80">
      <c r="A80" s="40" t="inlineStr">
        <is>
          <t>Modelagem oversized boxy, ombro caído.</t>
        </is>
      </c>
      <c r="D80" s="8" t="inlineStr">
        <is>
          <t>Qualidade indestrutível / caimento de passarela / grife × feira.</t>
        </is>
      </c>
    </row>
    <row r="81">
      <c r="A81" s="40" t="inlineStr">
        <is>
          <t>Gola canelada larga de 2,5 cm.</t>
        </is>
      </c>
      <c r="D81" s="8" t="inlineStr">
        <is>
          <t>Grandes marcas cobram R$ 150–180.</t>
        </is>
      </c>
    </row>
    <row r="82">
      <c r="A82" s="40" t="inlineStr">
        <is>
          <t>Reforço ombro a ombro.</t>
        </is>
      </c>
      <c r="D82" s="8" t="inlineStr">
        <is>
          <t>Estoque limitado, reposição não é imediata (urgência artificial).</t>
        </is>
      </c>
    </row>
    <row r="83">
      <c r="A83" s="40" t="inlineStr">
        <is>
          <t>Fabricada em Santa Catarina.</t>
        </is>
      </c>
      <c r="D83" s="8" t="inlineStr">
        <is>
          <t>Algodão nobre.</t>
        </is>
      </c>
    </row>
    <row r="84">
      <c r="A84" s="40" t="inlineStr">
        <is>
          <t>Composição por extenso só após confirmação escrita.</t>
        </is>
      </c>
      <c r="D84" s="8" t="inlineStr">
        <is>
          <t>100% algodão antes de confirmar.</t>
        </is>
      </c>
    </row>
    <row r="85">
      <c r="D85" s="8" t="inlineStr">
        <is>
          <t>Toque acetinado e aveludado juntos.</t>
        </is>
      </c>
    </row>
    <row r="87">
      <c r="A87" s="27" t="inlineStr">
        <is>
          <t>10. Pendências com o fornecedor</t>
        </is>
      </c>
      <c r="B87" s="28" t="n"/>
      <c r="C87" s="28" t="n"/>
      <c r="D87" s="28" t="n"/>
      <c r="E87" s="28" t="n"/>
      <c r="F87" s="28" t="n"/>
    </row>
    <row r="88">
      <c r="A88" s="9" t="inlineStr">
        <is>
          <t>Pendência</t>
        </is>
      </c>
      <c r="B88" s="9" t="inlineStr">
        <is>
          <t>Status</t>
        </is>
      </c>
      <c r="C88" s="9" t="inlineStr">
        <is>
          <t>Responsável</t>
        </is>
      </c>
      <c r="D88" s="9" t="inlineStr">
        <is>
          <t>Resposta</t>
        </is>
      </c>
    </row>
    <row r="89">
      <c r="A89" s="10" t="inlineStr">
        <is>
          <t>Composição real (100% algodão × 52/48)</t>
        </is>
      </c>
      <c r="B89" s="11" t="inlineStr">
        <is>
          <t>Aberta</t>
        </is>
      </c>
      <c r="C89" s="11" t="inlineStr"/>
      <c r="D89" s="11" t="inlineStr"/>
    </row>
    <row r="90">
      <c r="A90" s="10" t="inlineStr">
        <is>
          <t>Diferença entre P10 e P01</t>
        </is>
      </c>
      <c r="B90" s="11" t="inlineStr">
        <is>
          <t>Aberta</t>
        </is>
      </c>
      <c r="C90" s="11" t="inlineStr"/>
      <c r="D90" s="11" t="inlineStr"/>
    </row>
    <row r="91">
      <c r="A91" s="10" t="inlineStr">
        <is>
          <t>Ficha do tecido (interlock ou meia malha escovada)</t>
        </is>
      </c>
      <c r="B91" s="11" t="inlineStr">
        <is>
          <t>Aberta</t>
        </is>
      </c>
      <c r="C91" s="11" t="inlineStr"/>
      <c r="D91" s="11" t="inlineStr"/>
    </row>
    <row r="92">
      <c r="A92" s="10" t="inlineStr">
        <is>
          <t>Tabela de medidas</t>
        </is>
      </c>
      <c r="B92" s="11" t="inlineStr">
        <is>
          <t>Aberta</t>
        </is>
      </c>
      <c r="C92" s="11" t="inlineStr"/>
      <c r="D92" s="11" t="inlineStr"/>
    </row>
    <row r="93">
      <c r="A93" s="10" t="inlineStr">
        <is>
          <t>Mínimo R$ 28,99 × R$ 29,40</t>
        </is>
      </c>
      <c r="B93" s="11" t="inlineStr">
        <is>
          <t>Aberta</t>
        </is>
      </c>
      <c r="C93" s="11" t="inlineStr"/>
      <c r="D93" s="11" t="inlineStr"/>
    </row>
    <row r="94">
      <c r="A94" s="10" t="inlineStr">
        <is>
          <t>Pix e parcelamento</t>
        </is>
      </c>
      <c r="B94" s="11" t="inlineStr">
        <is>
          <t>Aberta</t>
        </is>
      </c>
      <c r="C94" s="11" t="inlineStr"/>
      <c r="D94" s="11" t="inlineStr"/>
    </row>
    <row r="95">
      <c r="A95" s="10" t="inlineStr">
        <is>
          <t>Estoque por cor e fotos de Bege/Marinho</t>
        </is>
      </c>
      <c r="B95" s="11" t="inlineStr">
        <is>
          <t>Aberta</t>
        </is>
      </c>
      <c r="C95" s="11" t="inlineStr"/>
      <c r="D95" s="11" t="inlineStr"/>
    </row>
    <row r="96">
      <c r="A96" s="10" t="inlineStr">
        <is>
          <t>Peça-teste DTF/silk e orçamento de bordado costas</t>
        </is>
      </c>
      <c r="B96" s="11" t="inlineStr">
        <is>
          <t>Aberta</t>
        </is>
      </c>
      <c r="C96" s="11" t="inlineStr"/>
      <c r="D96" s="11" t="inlineStr"/>
    </row>
    <row r="98">
      <c r="A98" s="27" t="inlineStr">
        <is>
          <t>11. Fluxo de prompts de lookbook (docs/shop-confeccao/prompts/P10-prompts.md)</t>
        </is>
      </c>
      <c r="B98" s="28" t="n"/>
      <c r="C98" s="28" t="n"/>
      <c r="D98" s="28" t="n"/>
      <c r="E98" s="28" t="n"/>
      <c r="F98" s="28" t="n"/>
    </row>
    <row r="99">
      <c r="A99" s="9" t="inlineStr">
        <is>
          <t>Foto</t>
        </is>
      </c>
      <c r="B99" s="9" t="inlineStr">
        <is>
          <t>Origem no print</t>
        </is>
      </c>
      <c r="C99" s="9" t="inlineStr">
        <is>
          <t>Formato</t>
        </is>
      </c>
      <c r="D99" s="9" t="inlineStr">
        <is>
          <t>Status</t>
        </is>
      </c>
    </row>
    <row r="100">
      <c r="A100" s="10" t="inlineStr">
        <is>
          <t>F1 — Corpo inteiro</t>
        </is>
      </c>
      <c r="B100" s="10" t="inlineStr">
        <is>
          <t>Origem: fotos #1 (cinza), #5 (branco), #9 e #10 (rose gold) e #14 (preto) da galeria — mesma pose de corpo inteiro em 4 cores</t>
        </is>
      </c>
      <c r="C100" s="10" t="inlineStr">
        <is>
          <t>4:5</t>
        </is>
      </c>
      <c r="D100" s="11" t="inlineStr">
        <is>
          <t>A gerar</t>
        </is>
      </c>
    </row>
    <row r="101">
      <c r="A101" s="10" t="inlineStr">
        <is>
          <t>F2 — 3/4 meia figura</t>
        </is>
      </c>
      <c r="B101" s="10" t="inlineStr">
        <is>
          <t>Origem: foto #2 da galeria (cinza, leve 3/4, braços soltos, olhar na câmera)</t>
        </is>
      </c>
      <c r="C101" s="10" t="inlineStr">
        <is>
          <t>4:5</t>
        </is>
      </c>
      <c r="D101" s="11" t="inlineStr">
        <is>
          <t>A gerar</t>
        </is>
      </c>
    </row>
    <row r="102">
      <c r="A102" s="10" t="inlineStr">
        <is>
          <t>F3 — Detalhe gola e ombro</t>
        </is>
      </c>
      <c r="B102" s="10" t="inlineStr">
        <is>
          <t>Origem: fotos #3 (cinza), #8 (branco) e #13 (rose gold) da galeria (close da gola larga e do ombro caído)</t>
        </is>
      </c>
      <c r="C102" s="10" t="inlineStr">
        <is>
          <t>4:5</t>
        </is>
      </c>
      <c r="D102" s="11" t="inlineStr">
        <is>
          <t>A gerar</t>
        </is>
      </c>
    </row>
    <row r="103">
      <c r="A103" s="10" t="inlineStr">
        <is>
          <t>F4 — Mão na nuca</t>
        </is>
      </c>
      <c r="B103" s="10" t="inlineStr">
        <is>
          <t>Origem: fotos #4 (cinza), #7 (branco) e #11 (rose gold) da galeria</t>
        </is>
      </c>
      <c r="C103" s="10" t="inlineStr">
        <is>
          <t>4:5</t>
        </is>
      </c>
      <c r="D103" s="11" t="inlineStr">
        <is>
          <t>A gerar</t>
        </is>
      </c>
    </row>
    <row r="104">
      <c r="A104" s="10" t="inlineStr">
        <is>
          <t>F5 — Mãos juntas na cintura</t>
        </is>
      </c>
      <c r="B104" s="10" t="inlineStr">
        <is>
          <t>Origem: foto #6 da galeria (branco, mãos juntas à frente, olhar para o lado)</t>
        </is>
      </c>
      <c r="C104" s="10" t="inlineStr">
        <is>
          <t>4:5</t>
        </is>
      </c>
      <c r="D104" s="11" t="inlineStr">
        <is>
          <t>A gerar</t>
        </is>
      </c>
    </row>
    <row r="105">
      <c r="A105" s="10" t="inlineStr">
        <is>
          <t>F6 — Frontal meia figura</t>
        </is>
      </c>
      <c r="B105" s="10" t="inlineStr">
        <is>
          <t>Origem: fotos #12 (rose gold) e #15 (preto) da galeria (frontal, braços soltos, olhar direto)</t>
        </is>
      </c>
      <c r="C105" s="10" t="inlineStr">
        <is>
          <t>4:5</t>
        </is>
      </c>
      <c r="D105" s="11" t="inlineStr">
        <is>
          <t>A gerar</t>
        </is>
      </c>
    </row>
  </sheetData>
  <mergeCells count="41">
    <mergeCell ref="B4:F4"/>
    <mergeCell ref="B7:F7"/>
    <mergeCell ref="A80:C80"/>
    <mergeCell ref="A84:C84"/>
    <mergeCell ref="A75:F75"/>
    <mergeCell ref="A27:F27"/>
    <mergeCell ref="B15:E15"/>
    <mergeCell ref="A74:F74"/>
    <mergeCell ref="B24:E24"/>
    <mergeCell ref="B20:E20"/>
    <mergeCell ref="A71:F71"/>
    <mergeCell ref="B11:F11"/>
    <mergeCell ref="B16:E16"/>
    <mergeCell ref="B8:F8"/>
    <mergeCell ref="D83:F83"/>
    <mergeCell ref="A72:F72"/>
    <mergeCell ref="A81:C81"/>
    <mergeCell ref="B22:E22"/>
    <mergeCell ref="A38:F38"/>
    <mergeCell ref="D82:F82"/>
    <mergeCell ref="B18:E18"/>
    <mergeCell ref="A68:F68"/>
    <mergeCell ref="B10:F10"/>
    <mergeCell ref="D79:F79"/>
    <mergeCell ref="B21:E21"/>
    <mergeCell ref="D85:F85"/>
    <mergeCell ref="A83:C83"/>
    <mergeCell ref="B9:F9"/>
    <mergeCell ref="A73:F73"/>
    <mergeCell ref="D81:F81"/>
    <mergeCell ref="B17:E17"/>
    <mergeCell ref="B23:E23"/>
    <mergeCell ref="A82:C82"/>
    <mergeCell ref="B6:F6"/>
    <mergeCell ref="D80:F80"/>
    <mergeCell ref="A79:C79"/>
    <mergeCell ref="D84:F84"/>
    <mergeCell ref="A70:F70"/>
    <mergeCell ref="B5:F5"/>
    <mergeCell ref="B19:E19"/>
    <mergeCell ref="A69:F6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P11 — Camiseta Custo Inteligente Malha Algodão/Poliéster 160g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HMZT-P11-REG-PA160</t>
        </is>
      </c>
    </row>
    <row r="5">
      <c r="A5" s="24" t="inlineStr">
        <is>
          <t>Fornecedor</t>
        </is>
      </c>
      <c r="B5" s="2" t="inlineStr">
        <is>
          <t>Lunfe Malhas — fabricação própria, Itajaí-SC</t>
        </is>
      </c>
    </row>
    <row r="6">
      <c r="A6" s="24" t="inlineStr">
        <is>
          <t>Referência</t>
        </is>
      </c>
      <c r="B6" s="2" t="inlineStr">
        <is>
          <t>7899516388428</t>
        </is>
      </c>
    </row>
    <row r="7">
      <c r="A7" s="24" t="inlineStr">
        <is>
          <t>URL</t>
        </is>
      </c>
      <c r="B7" s="2" t="inlineStr">
        <is>
          <t>lunfemalhas.com.br/camiseta-custo-inteligente-atacado-malha-pa-lunfe</t>
        </is>
      </c>
    </row>
    <row r="8">
      <c r="A8" s="24" t="inlineStr">
        <is>
          <t>Categoria no site</t>
        </is>
      </c>
      <c r="B8" s="2" t="inlineStr">
        <is>
          <t>Camisetas › Masculino › Regular Fit</t>
        </is>
      </c>
    </row>
    <row r="9">
      <c r="A9" s="24" t="inlineStr">
        <is>
          <t>Linha HMZT recomendada</t>
        </is>
      </c>
      <c r="B9" s="2" t="inlineStr">
        <is>
          <t>Uniformes &amp; Eventos (B2B) — fora da vitrine</t>
        </is>
      </c>
    </row>
    <row r="10">
      <c r="A10" s="24" t="inlineStr">
        <is>
          <t>Estoque</t>
        </is>
      </c>
      <c r="B10" s="2" t="inlineStr">
        <is>
          <t>6 cores em estoque; despacho em 24h úteis</t>
        </is>
      </c>
    </row>
    <row r="11">
      <c r="A11" s="24" t="inlineStr">
        <is>
          <t>Descritor canônico (IA)</t>
        </is>
      </c>
      <c r="B11" s="2" t="inlineStr">
        <is>
          <t>Camiseta masculina regular fit, manga curta reta até o meio do bíceps, gola careca em ribana fina 1×1 de 2 cm sem pesponto aparente, meia malha leve de algodão com poliéster (160 g/m²), superfície lisa e fosca, cinza claro com aspecto mesclado, caimento leve que acompanha o corpo, barra dupla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Meia malha algodão + poliéster — % não informado</t>
        </is>
      </c>
      <c r="C15" s="29" t="n"/>
      <c r="D15" s="29" t="n"/>
      <c r="E15" s="30" t="n"/>
    </row>
    <row r="16">
      <c r="A16" s="10" t="inlineStr">
        <is>
          <t>Gramatura</t>
        </is>
      </c>
      <c r="B16" s="10" t="inlineStr">
        <is>
          <t>160 g/m²</t>
        </is>
      </c>
      <c r="C16" s="29" t="n"/>
      <c r="D16" s="29" t="n"/>
      <c r="E16" s="30" t="n"/>
    </row>
    <row r="17">
      <c r="A17" s="10" t="inlineStr">
        <is>
          <t>Modelagem</t>
        </is>
      </c>
      <c r="B17" s="10" t="inlineStr">
        <is>
          <t>Regular fit</t>
        </is>
      </c>
      <c r="C17" s="29" t="n"/>
      <c r="D17" s="29" t="n"/>
      <c r="E17" s="30" t="n"/>
    </row>
    <row r="18">
      <c r="A18" s="10" t="inlineStr">
        <is>
          <t>Gola</t>
        </is>
      </c>
      <c r="B18" s="10" t="inlineStr">
        <is>
          <t>Ribana 1×1, 2 cm, desagulhada (sem pesponto externo)</t>
        </is>
      </c>
      <c r="C18" s="29" t="n"/>
      <c r="D18" s="29" t="n"/>
      <c r="E18" s="30" t="n"/>
    </row>
    <row r="19">
      <c r="A19" s="10" t="inlineStr">
        <is>
          <t>Acabamentos</t>
        </is>
      </c>
      <c r="B19" s="10" t="inlineStr">
        <is>
          <t>Fita de cadarço ombro a ombro, ponto cadeia, barra dupla</t>
        </is>
      </c>
      <c r="C19" s="29" t="n"/>
      <c r="D19" s="29" t="n"/>
      <c r="E19" s="30" t="n"/>
    </row>
    <row r="20">
      <c r="A20" s="10" t="inlineStr">
        <is>
          <t>Tratamentos</t>
        </is>
      </c>
      <c r="B20" s="10" t="inlineStr">
        <is>
          <t>Pré-encolhimento mecânico, fixação de cor</t>
        </is>
      </c>
      <c r="C20" s="29" t="n"/>
      <c r="D20" s="29" t="n"/>
      <c r="E20" s="30" t="n"/>
    </row>
    <row r="21">
      <c r="A21" s="10" t="inlineStr">
        <is>
          <t>Tamanhos</t>
        </is>
      </c>
      <c r="B21" s="10" t="inlineStr">
        <is>
          <t>P, M, G, GG, EG</t>
        </is>
      </c>
      <c r="C21" s="29" t="n"/>
      <c r="D21" s="29" t="n"/>
      <c r="E21" s="30" t="n"/>
    </row>
    <row r="22">
      <c r="A22" s="10" t="inlineStr">
        <is>
          <t>Sigla 'PA'</t>
        </is>
      </c>
      <c r="B22" s="10" t="inlineStr">
        <is>
          <t>No mercado PA = poliamida; aqui usada para poliéster/algodão</t>
        </is>
      </c>
      <c r="C22" s="29" t="n"/>
      <c r="D22" s="29" t="n"/>
      <c r="E22" s="30" t="n"/>
    </row>
    <row r="23">
      <c r="A23" s="10" t="inlineStr">
        <is>
          <t>Secagem</t>
        </is>
      </c>
      <c r="B23" s="10" t="inlineStr">
        <is>
          <t>'Seca 2–3× mais rápido que 100% algodão'</t>
        </is>
      </c>
      <c r="C23" s="29" t="n"/>
      <c r="D23" s="29" t="n"/>
      <c r="E23" s="30" t="n"/>
    </row>
    <row r="24">
      <c r="A24" s="10" t="inlineStr">
        <is>
          <t>Percepção</t>
        </is>
      </c>
      <c r="B24" s="10" t="inlineStr">
        <is>
          <t>'90% da percepção por 50% do custo'</t>
        </is>
      </c>
      <c r="C24" s="29" t="n"/>
      <c r="D24" s="29" t="n"/>
      <c r="E24" s="30" t="n"/>
    </row>
    <row r="25">
      <c r="A25" s="10" t="inlineStr">
        <is>
          <t>Produção</t>
        </is>
      </c>
      <c r="B25" s="10" t="inlineStr">
        <is>
          <t>Fabricação própria — Itajaí, SC</t>
        </is>
      </c>
      <c r="C25" s="29" t="n"/>
      <c r="D25" s="29" t="n"/>
      <c r="E25" s="30" t="n"/>
    </row>
    <row r="27">
      <c r="A27" s="27" t="inlineStr">
        <is>
          <t>3. Tabela de medidas (cm)</t>
        </is>
      </c>
      <c r="B27" s="28" t="n"/>
      <c r="C27" s="28" t="n"/>
      <c r="D27" s="28" t="n"/>
      <c r="E27" s="28" t="n"/>
      <c r="F27" s="28" t="n"/>
    </row>
    <row r="28">
      <c r="A28" s="9" t="inlineStr">
        <is>
          <t>Tamanho</t>
        </is>
      </c>
      <c r="B28" s="9" t="inlineStr">
        <is>
          <t>Comprimento</t>
        </is>
      </c>
      <c r="C28" s="9" t="inlineStr">
        <is>
          <t>Largura</t>
        </is>
      </c>
      <c r="D28" s="9" t="inlineStr">
        <is>
          <t>Ombros</t>
        </is>
      </c>
      <c r="E28" s="9" t="inlineStr">
        <is>
          <t>Mangas</t>
        </is>
      </c>
    </row>
    <row r="29">
      <c r="A29" s="10" t="inlineStr">
        <is>
          <t>P</t>
        </is>
      </c>
      <c r="B29" s="11" t="n">
        <v>70</v>
      </c>
      <c r="C29" s="11" t="n">
        <v>52</v>
      </c>
      <c r="D29" s="11" t="n">
        <v>44</v>
      </c>
      <c r="E29" s="11" t="n">
        <v>16</v>
      </c>
    </row>
    <row r="30">
      <c r="A30" s="10" t="inlineStr">
        <is>
          <t>M</t>
        </is>
      </c>
      <c r="B30" s="11" t="n">
        <v>72</v>
      </c>
      <c r="C30" s="11" t="n">
        <v>54</v>
      </c>
      <c r="D30" s="11" t="n">
        <v>46</v>
      </c>
      <c r="E30" s="11" t="n">
        <v>18</v>
      </c>
    </row>
    <row r="31">
      <c r="A31" s="10" t="inlineStr">
        <is>
          <t>G</t>
        </is>
      </c>
      <c r="B31" s="11" t="n">
        <v>74</v>
      </c>
      <c r="C31" s="11" t="n">
        <v>56</v>
      </c>
      <c r="D31" s="11" t="n">
        <v>48</v>
      </c>
      <c r="E31" s="11" t="n">
        <v>20</v>
      </c>
    </row>
    <row r="32">
      <c r="A32" s="10" t="inlineStr">
        <is>
          <t>GG</t>
        </is>
      </c>
      <c r="B32" s="11" t="n">
        <v>76</v>
      </c>
      <c r="C32" s="11" t="n">
        <v>58</v>
      </c>
      <c r="D32" s="11" t="n">
        <v>50</v>
      </c>
      <c r="E32" s="11" t="n">
        <v>22</v>
      </c>
    </row>
    <row r="33">
      <c r="A33" s="10" t="inlineStr">
        <is>
          <t>EG</t>
        </is>
      </c>
      <c r="B33" s="11" t="n">
        <v>78</v>
      </c>
      <c r="C33" s="11" t="n">
        <v>60</v>
      </c>
      <c r="D33" s="11" t="n">
        <v>52</v>
      </c>
      <c r="E33" s="11" t="n">
        <v>24</v>
      </c>
    </row>
    <row r="34" ht="30" customHeight="1">
      <c r="A34" s="2" t="inlineStr">
        <is>
          <t>Molde regular único Lunfe, em cm, ± 2 cm. Modelo 1,84 m / 84 kg veste M.</t>
        </is>
      </c>
    </row>
    <row r="35">
      <c r="A35" s="15" t="inlineStr">
        <is>
          <t>Modelo das fotos: 1,84 m · 84 kg · veste M</t>
        </is>
      </c>
    </row>
    <row r="37">
      <c r="A37" s="27" t="inlineStr">
        <is>
          <t>4. Cores disponíveis</t>
        </is>
      </c>
      <c r="B37" s="28" t="n"/>
      <c r="C37" s="28" t="n"/>
      <c r="D37" s="28" t="n"/>
      <c r="E37" s="28" t="n"/>
      <c r="F37" s="28" t="n"/>
    </row>
    <row r="38">
      <c r="A38" s="9" t="inlineStr">
        <is>
          <t>Cor</t>
        </is>
      </c>
      <c r="B38" s="9" t="inlineStr">
        <is>
          <t>Código HMZT</t>
        </is>
      </c>
      <c r="C38" s="9" t="inlineStr">
        <is>
          <t>Ref. fornecedor</t>
        </is>
      </c>
      <c r="D38" s="9" t="inlineStr">
        <is>
          <t>Observação</t>
        </is>
      </c>
    </row>
    <row r="39">
      <c r="A39" s="10" t="inlineStr">
        <is>
          <t>Preto</t>
        </is>
      </c>
      <c r="B39" s="10" t="inlineStr">
        <is>
          <t>PRT</t>
        </is>
      </c>
      <c r="C39" s="10" t="inlineStr">
        <is>
          <t>CIN-PRT</t>
        </is>
      </c>
      <c r="D39" s="10" t="inlineStr"/>
    </row>
    <row r="40">
      <c r="A40" s="10" t="inlineStr">
        <is>
          <t>Branco</t>
        </is>
      </c>
      <c r="B40" s="10" t="inlineStr">
        <is>
          <t>BCO</t>
        </is>
      </c>
      <c r="C40" s="10" t="inlineStr">
        <is>
          <t>CIN-BRA</t>
        </is>
      </c>
      <c r="D40" s="10" t="inlineStr"/>
    </row>
    <row r="41">
      <c r="A41" s="10" t="inlineStr">
        <is>
          <t>Marinho</t>
        </is>
      </c>
      <c r="B41" s="10" t="inlineStr">
        <is>
          <t>MAR</t>
        </is>
      </c>
      <c r="C41" s="10" t="inlineStr">
        <is>
          <t>CIN-MRN</t>
        </is>
      </c>
      <c r="D41" s="14" t="inlineStr">
        <is>
          <t>⚠️ foto mostra azul royal</t>
        </is>
      </c>
    </row>
    <row r="42">
      <c r="A42" s="10" t="inlineStr">
        <is>
          <t>Cinza Claro</t>
        </is>
      </c>
      <c r="B42" s="10" t="inlineStr">
        <is>
          <t>CZC</t>
        </is>
      </c>
      <c r="C42" s="10" t="inlineStr">
        <is>
          <t>CIN-CZC</t>
        </is>
      </c>
      <c r="D42" s="10" t="inlineStr">
        <is>
          <t>Mescla clara</t>
        </is>
      </c>
    </row>
    <row r="43">
      <c r="A43" s="10" t="inlineStr">
        <is>
          <t>Bege</t>
        </is>
      </c>
      <c r="B43" s="10" t="inlineStr">
        <is>
          <t>BGE</t>
        </is>
      </c>
      <c r="C43" s="10" t="inlineStr">
        <is>
          <t>CIN-BGE</t>
        </is>
      </c>
      <c r="D43" s="10" t="inlineStr"/>
    </row>
    <row r="44">
      <c r="A44" s="10" t="inlineStr">
        <is>
          <t>Azul Bebê</t>
        </is>
      </c>
      <c r="B44" s="10" t="inlineStr">
        <is>
          <t>AZB</t>
        </is>
      </c>
      <c r="C44" s="10" t="inlineStr">
        <is>
          <t>CIN-AZB</t>
        </is>
      </c>
      <c r="D44" s="10" t="inlineStr">
        <is>
          <t>Sem foto</t>
        </is>
      </c>
    </row>
    <row r="45" ht="30" customHeight="1">
      <c r="A45" s="2" t="inlineStr">
        <is>
          <t>6 cores. Pantone a partir de 100 pç/cor, 15–25 dias úteis. O azul das fotos (#8–10) é royal, não marinho.</t>
        </is>
      </c>
    </row>
    <row r="47">
      <c r="A47" s="27" t="inlineStr">
        <is>
          <t>5. Personalização (preço sempre sob orçamento)</t>
        </is>
      </c>
      <c r="B47" s="28" t="n"/>
      <c r="C47" s="28" t="n"/>
      <c r="D47" s="28" t="n"/>
      <c r="E47" s="28" t="n"/>
      <c r="F47" s="28" t="n"/>
    </row>
    <row r="48">
      <c r="A48" s="9" t="inlineStr">
        <is>
          <t>Técnica</t>
        </is>
      </c>
      <c r="B48" s="9" t="inlineStr">
        <is>
          <t>Detalhe</t>
        </is>
      </c>
      <c r="C48" s="9" t="inlineStr">
        <is>
          <t>Mínimo</t>
        </is>
      </c>
    </row>
    <row r="49">
      <c r="A49" s="10" t="inlineStr">
        <is>
          <t>Silk base d'água</t>
        </is>
      </c>
      <c r="B49" s="10" t="inlineStr">
        <is>
          <t>Uniformes e brindes</t>
        </is>
      </c>
      <c r="C49" s="10" t="inlineStr">
        <is>
          <t>20 pç</t>
        </is>
      </c>
    </row>
    <row r="50">
      <c r="A50" s="10" t="inlineStr">
        <is>
          <t>Silk plastisol</t>
        </is>
      </c>
      <c r="B50" s="10" t="inlineStr">
        <is>
          <t>Escuras — pedir bloqueador de migração</t>
        </is>
      </c>
      <c r="C50" s="10" t="inlineStr">
        <is>
          <t>20 pç</t>
        </is>
      </c>
    </row>
    <row r="51">
      <c r="A51" s="10" t="inlineStr">
        <is>
          <t>Gel / Puff 3D / Foil</t>
        </is>
      </c>
      <c r="B51" s="10" t="inlineStr">
        <is>
          <t>Efeitos</t>
        </is>
      </c>
      <c r="C51" s="10" t="inlineStr">
        <is>
          <t>20 pç</t>
        </is>
      </c>
    </row>
    <row r="52">
      <c r="A52" s="10" t="inlineStr">
        <is>
          <t>DTF</t>
        </is>
      </c>
      <c r="B52" s="10" t="inlineStr">
        <is>
          <t>Full color</t>
        </is>
      </c>
      <c r="C52" s="10" t="inlineStr">
        <is>
          <t>20 pç</t>
        </is>
      </c>
    </row>
    <row r="53">
      <c r="A53" s="10" t="inlineStr">
        <is>
          <t>Bordado industrial</t>
        </is>
      </c>
      <c r="B53" s="10" t="inlineStr">
        <is>
          <t>Logo pequeno com entretela</t>
        </is>
      </c>
      <c r="C53" s="10" t="inlineStr">
        <is>
          <t>20 pç</t>
        </is>
      </c>
    </row>
    <row r="54">
      <c r="A54" s="10" t="inlineStr">
        <is>
          <t>Etiqueta private label</t>
        </is>
      </c>
      <c r="B54" s="10" t="inlineStr">
        <is>
          <t>Interna + tag</t>
        </is>
      </c>
      <c r="C54" s="10" t="inlineStr">
        <is>
          <t>20 pç</t>
        </is>
      </c>
    </row>
    <row r="55">
      <c r="A55" s="10" t="inlineStr">
        <is>
          <t>Embalagem customizada</t>
        </is>
      </c>
      <c r="B55" s="10" t="inlineStr">
        <is>
          <t>Saco, caixa, tag</t>
        </is>
      </c>
      <c r="C55" s="10" t="inlineStr">
        <is>
          <t>50 pç</t>
        </is>
      </c>
    </row>
    <row r="56">
      <c r="A56" s="10" t="inlineStr">
        <is>
          <t>Cor Pantone</t>
        </is>
      </c>
      <c r="B56" s="10" t="inlineStr">
        <is>
          <t>Tingimento exclusivo</t>
        </is>
      </c>
      <c r="C56" s="10" t="inlineStr">
        <is>
          <t>100 pç/cor</t>
        </is>
      </c>
    </row>
    <row r="57">
      <c r="A57" s="10" t="inlineStr">
        <is>
          <t>Sublimação</t>
        </is>
      </c>
      <c r="B57" s="14" t="inlineStr">
        <is>
          <t>⚠️ Só com % de poliéster confirmado e peça-teste</t>
        </is>
      </c>
      <c r="C57" s="10" t="inlineStr">
        <is>
          <t>consultar</t>
        </is>
      </c>
    </row>
    <row r="59">
      <c r="A59" s="27" t="inlineStr">
        <is>
          <t>6. Preços do fornecedor (desconto progressivo)</t>
        </is>
      </c>
      <c r="B59" s="28" t="n"/>
      <c r="C59" s="28" t="n"/>
      <c r="D59" s="28" t="n"/>
      <c r="E59" s="28" t="n"/>
      <c r="F59" s="28" t="n"/>
    </row>
    <row r="60">
      <c r="A60" s="24" t="inlineStr">
        <is>
          <t>Preço base (R$)</t>
        </is>
      </c>
      <c r="B60" s="31" t="n">
        <v>28.99</v>
      </c>
    </row>
    <row r="61">
      <c r="A61" s="17" t="inlineStr">
        <is>
          <t>Faixa</t>
        </is>
      </c>
      <c r="B61" s="17" t="inlineStr">
        <is>
          <t>Peças</t>
        </is>
      </c>
      <c r="C61" s="17" t="inlineStr">
        <is>
          <t>Desconto</t>
        </is>
      </c>
      <c r="D61" s="17" t="inlineStr">
        <is>
          <t>Preço unitário</t>
        </is>
      </c>
      <c r="E61" s="17" t="inlineStr">
        <is>
          <t>Preço + Pix</t>
        </is>
      </c>
    </row>
    <row r="62">
      <c r="A62" s="18" t="inlineStr">
        <is>
          <t>Faixa 1</t>
        </is>
      </c>
      <c r="B62" s="18" t="inlineStr">
        <is>
          <t>20–40</t>
        </is>
      </c>
      <c r="C62" s="32">
        <f>'Regras Fornecedor'!$D$4</f>
        <v/>
      </c>
      <c r="D62" s="33">
        <f>ROUND($B$60*(1-C62),2)</f>
        <v/>
      </c>
      <c r="E62" s="34">
        <f>ROUND(D62*(1-'Regras Fornecedor'!$B$10),2)</f>
        <v/>
      </c>
    </row>
    <row r="63">
      <c r="A63" s="18" t="inlineStr">
        <is>
          <t>Faixa 2</t>
        </is>
      </c>
      <c r="B63" s="18" t="inlineStr">
        <is>
          <t>40–80</t>
        </is>
      </c>
      <c r="C63" s="32">
        <f>'Regras Fornecedor'!$D$5</f>
        <v/>
      </c>
      <c r="D63" s="33">
        <f>ROUND($B$60*(1-C63),2)</f>
        <v/>
      </c>
      <c r="E63" s="34">
        <f>ROUND(D63*(1-'Regras Fornecedor'!$B$10),2)</f>
        <v/>
      </c>
    </row>
    <row r="64">
      <c r="A64" s="18" t="inlineStr">
        <is>
          <t>Faixa 3</t>
        </is>
      </c>
      <c r="B64" s="18" t="inlineStr">
        <is>
          <t>80–100</t>
        </is>
      </c>
      <c r="C64" s="32">
        <f>'Regras Fornecedor'!$D$6</f>
        <v/>
      </c>
      <c r="D64" s="33">
        <f>ROUND($B$60*(1-C64),2)</f>
        <v/>
      </c>
      <c r="E64" s="34">
        <f>ROUND(D64*(1-'Regras Fornecedor'!$B$10),2)</f>
        <v/>
      </c>
    </row>
    <row r="65">
      <c r="A65" s="18" t="inlineStr">
        <is>
          <t>Faixa 4</t>
        </is>
      </c>
      <c r="B65" s="18" t="inlineStr">
        <is>
          <t>100–300</t>
        </is>
      </c>
      <c r="C65" s="32">
        <f>'Regras Fornecedor'!$D$7</f>
        <v/>
      </c>
      <c r="D65" s="33">
        <f>ROUND($B$60*(1-C65),2)</f>
        <v/>
      </c>
      <c r="E65" s="34">
        <f>ROUND(D65*(1-'Regras Fornecedor'!$B$10),2)</f>
        <v/>
      </c>
    </row>
    <row r="66">
      <c r="A66" s="18" t="inlineStr">
        <is>
          <t>Faixa 5</t>
        </is>
      </c>
      <c r="B66" s="18" t="inlineStr">
        <is>
          <t>300–999</t>
        </is>
      </c>
      <c r="C66" s="32">
        <f>'Regras Fornecedor'!$D$8</f>
        <v/>
      </c>
      <c r="D66" s="33">
        <f>ROUND($B$60*(1-C66),2)</f>
        <v/>
      </c>
      <c r="E66" s="34">
        <f>ROUND(D66*(1-'Regras Fornecedor'!$B$10),2)</f>
        <v/>
      </c>
    </row>
    <row r="68">
      <c r="A68" s="27" t="inlineStr">
        <is>
          <t>7. Custo HMZT e margem (lote de 20 peças, Pix)</t>
        </is>
      </c>
      <c r="B68" s="28" t="n"/>
      <c r="C68" s="28" t="n"/>
      <c r="D68" s="28" t="n"/>
      <c r="E68" s="28" t="n"/>
      <c r="F68" s="28" t="n"/>
    </row>
    <row r="69">
      <c r="A69" s="24" t="inlineStr">
        <is>
          <t>Peça (20 pç, Pix)</t>
        </is>
      </c>
      <c r="B69" s="35">
        <f>E62</f>
        <v/>
      </c>
    </row>
    <row r="70">
      <c r="A70" s="24" t="inlineStr">
        <is>
          <t>Personalização + etiqueta + tag (R$/pç)</t>
        </is>
      </c>
      <c r="B70" s="36" t="n">
        <v>8</v>
      </c>
      <c r="C70" s="15" t="inlineStr">
        <is>
          <t>Estimativa HMZT — trocar pelo orçamento real</t>
        </is>
      </c>
    </row>
    <row r="71">
      <c r="A71" s="24" t="inlineStr">
        <is>
          <t>Frete rateado + embalagem (R$/pç)</t>
        </is>
      </c>
      <c r="B71" s="36" t="n">
        <v>3</v>
      </c>
      <c r="C71" s="15" t="inlineStr">
        <is>
          <t>Estimativa HMZT — trocar pelo orçamento real</t>
        </is>
      </c>
    </row>
    <row r="72">
      <c r="A72" s="24" t="inlineStr">
        <is>
          <t>Custo unitário estimado</t>
        </is>
      </c>
      <c r="B72" s="37">
        <f>SUM(B69:B71)</f>
        <v/>
      </c>
    </row>
    <row r="73">
      <c r="A73" s="24" t="inlineStr">
        <is>
          <t>Preço de venda HMZT (R$)</t>
        </is>
      </c>
      <c r="B73" s="36" t="n">
        <v>69</v>
      </c>
      <c r="C73" s="15" t="inlineStr">
        <is>
          <t>Sugestão do dossiê — ajustar</t>
        </is>
      </c>
    </row>
    <row r="74">
      <c r="A74" s="24" t="inlineStr">
        <is>
          <t>Impostos + gateway (% do preço)</t>
        </is>
      </c>
      <c r="B74" s="38" t="n">
        <v>0</v>
      </c>
      <c r="C74" s="15" t="inlineStr">
        <is>
          <t>A preencher (Simples + taxa Asaas)</t>
        </is>
      </c>
    </row>
    <row r="75">
      <c r="A75" s="24" t="inlineStr">
        <is>
          <t>Margem bruta (R$)</t>
        </is>
      </c>
      <c r="B75" s="35">
        <f>B73-B72</f>
        <v/>
      </c>
    </row>
    <row r="76">
      <c r="A76" s="24" t="inlineStr">
        <is>
          <t>Margem bruta (%)</t>
        </is>
      </c>
      <c r="B76" s="39">
        <f>IF(B73=0,0,(B73-B72)/B73)</f>
        <v/>
      </c>
    </row>
    <row r="77">
      <c r="A77" s="24" t="inlineStr">
        <is>
          <t>Margem após impostos/gateway (%)</t>
        </is>
      </c>
      <c r="B77" s="39">
        <f>IF(B73=0,0,(B73*(1-B74)-B72)/B73)</f>
        <v/>
      </c>
      <c r="C77" s="15" t="inlineStr">
        <is>
          <t>Ainda sem frete ao cliente e mídia</t>
        </is>
      </c>
    </row>
    <row r="79">
      <c r="A79" s="27" t="inlineStr">
        <is>
          <t>8. Contradições e erros ⚠️</t>
        </is>
      </c>
      <c r="B79" s="28" t="n"/>
      <c r="C79" s="28" t="n"/>
      <c r="D79" s="28" t="n"/>
      <c r="E79" s="28" t="n"/>
      <c r="F79" s="28" t="n"/>
    </row>
    <row r="80">
      <c r="A80" s="8" t="inlineStr">
        <is>
          <t>⚠️ Seletor da página: R$ 39,90. Descrição: base R$ 28,99 e 'a partir de R$ 20,29' (= 28,99 × 0,70).</t>
        </is>
      </c>
    </row>
    <row r="81">
      <c r="A81" s="8" t="inlineStr">
        <is>
          <t>⚠️ Composição 'PA' sem percentual — sublimação, secagem e anti-rugas dependem do %.</t>
        </is>
      </c>
    </row>
    <row r="82">
      <c r="A82" s="8" t="inlineStr">
        <is>
          <t>⚠️ 'PA' significa poliamida no mercado têxtil; poliéster/algodão não é PA.</t>
        </is>
      </c>
    </row>
    <row r="83">
      <c r="A83" s="8" t="inlineStr">
        <is>
          <t>⚠️ Cor 'Marinho' na lista; a foto mostra azul royal.</t>
        </is>
      </c>
    </row>
    <row r="84">
      <c r="A84" s="8" t="inlineStr">
        <is>
          <t>⚠️ Comparativo cita 'Estonada 175g R$ 37,26' (regular); a P02 cita 'Estonada Oversized Bolso 175g R$ 39,78' — ambas 'Esse acabou' nas relacionadas.</t>
        </is>
      </c>
    </row>
    <row r="85">
      <c r="A85" s="8" t="inlineStr">
        <is>
          <t>⚠️ 'Primeiro lote com private label abaixo de R$ 600': 20 × R$ 26,09 = R$ 521,80 só em peças; etiqueta é sob orçamento.</t>
        </is>
      </c>
    </row>
    <row r="87">
      <c r="A87" s="27" t="inlineStr">
        <is>
          <t>9. Comunicação HMZT</t>
        </is>
      </c>
      <c r="B87" s="28" t="n"/>
      <c r="C87" s="28" t="n"/>
      <c r="D87" s="28" t="n"/>
      <c r="E87" s="28" t="n"/>
      <c r="F87" s="28" t="n"/>
    </row>
    <row r="88">
      <c r="A88" s="24" t="inlineStr">
        <is>
          <t>✅ Pode usar</t>
        </is>
      </c>
      <c r="D88" s="24" t="inlineStr">
        <is>
          <t>📣 / ⛔ Não usar</t>
        </is>
      </c>
    </row>
    <row r="89">
      <c r="A89" s="40" t="inlineStr">
        <is>
          <t>Gola desagulhada em ribana de 2 cm, sem pesponto.</t>
        </is>
      </c>
      <c r="D89" s="8" t="inlineStr">
        <is>
          <t>Qualidade que o cliente final reconhece / não parece promocional.</t>
        </is>
      </c>
    </row>
    <row r="90">
      <c r="A90" s="40" t="inlineStr">
        <is>
          <t>Algodão com poliéster: amassa menos e aguenta lavagem frequente.</t>
        </is>
      </c>
      <c r="D90" s="8" t="inlineStr">
        <is>
          <t>90% da percepção por 50% do custo / a peça mais inteligente.</t>
        </is>
      </c>
    </row>
    <row r="91">
      <c r="A91" s="40" t="inlineStr">
        <is>
          <t>Pré-encolhida, reforço ombro a ombro.</t>
        </is>
      </c>
      <c r="D91" s="8" t="inlineStr">
        <is>
          <t>Menos devolução, recompra e indicação.</t>
        </is>
      </c>
    </row>
    <row r="92">
      <c r="A92" s="40" t="inlineStr">
        <is>
          <t>6 cores, pronta entrega.</t>
        </is>
      </c>
      <c r="D92" s="8" t="inlineStr">
        <is>
          <t>Seca 2–3× mais rápido / custo por uso inferior.</t>
        </is>
      </c>
    </row>
    <row r="93">
      <c r="A93" s="40" t="inlineStr">
        <is>
          <t>Fabricada em Santa Catarina.</t>
        </is>
      </c>
      <c r="D93" s="8" t="inlineStr">
        <is>
          <t>MVP mais acessível da indústria.</t>
        </is>
      </c>
    </row>
    <row r="94">
      <c r="D94" s="8" t="inlineStr">
        <is>
          <t>'Malha PA' em etiqueta ou site.</t>
        </is>
      </c>
    </row>
    <row r="95">
      <c r="D95" s="8" t="inlineStr">
        <is>
          <t>Sublimação sem % de poliéster e teste.</t>
        </is>
      </c>
    </row>
    <row r="96">
      <c r="D96" s="8" t="inlineStr">
        <is>
          <t>Marca HMZT como peça premium.</t>
        </is>
      </c>
    </row>
    <row r="98">
      <c r="A98" s="27" t="inlineStr">
        <is>
          <t>10. Pendências com o fornecedor</t>
        </is>
      </c>
      <c r="B98" s="28" t="n"/>
      <c r="C98" s="28" t="n"/>
      <c r="D98" s="28" t="n"/>
      <c r="E98" s="28" t="n"/>
      <c r="F98" s="28" t="n"/>
    </row>
    <row r="99">
      <c r="A99" s="9" t="inlineStr">
        <is>
          <t>Pendência</t>
        </is>
      </c>
      <c r="B99" s="9" t="inlineStr">
        <is>
          <t>Status</t>
        </is>
      </c>
      <c r="C99" s="9" t="inlineStr">
        <is>
          <t>Responsável</t>
        </is>
      </c>
      <c r="D99" s="9" t="inlineStr">
        <is>
          <t>Resposta</t>
        </is>
      </c>
    </row>
    <row r="100">
      <c r="A100" s="10" t="inlineStr">
        <is>
          <t>Preço real (R$ 39,90 × R$ 28,99)</t>
        </is>
      </c>
      <c r="B100" s="11" t="inlineStr">
        <is>
          <t>Aberta</t>
        </is>
      </c>
      <c r="C100" s="11" t="inlineStr"/>
      <c r="D100" s="11" t="inlineStr"/>
    </row>
    <row r="101">
      <c r="A101" s="10" t="inlineStr">
        <is>
          <t>Composição em %</t>
        </is>
      </c>
      <c r="B101" s="11" t="inlineStr">
        <is>
          <t>Aberta</t>
        </is>
      </c>
      <c r="C101" s="11" t="inlineStr"/>
      <c r="D101" s="11" t="inlineStr"/>
    </row>
    <row r="102">
      <c r="A102" s="10" t="inlineStr">
        <is>
          <t>Marinho × azul royal das fotos</t>
        </is>
      </c>
      <c r="B102" s="11" t="inlineStr">
        <is>
          <t>Aberta</t>
        </is>
      </c>
      <c r="C102" s="11" t="inlineStr"/>
      <c r="D102" s="11" t="inlineStr"/>
    </row>
    <row r="103">
      <c r="A103" s="10" t="inlineStr">
        <is>
          <t>Foto do Azul Bebê</t>
        </is>
      </c>
      <c r="B103" s="11" t="inlineStr">
        <is>
          <t>Aberta</t>
        </is>
      </c>
      <c r="C103" s="11" t="inlineStr"/>
      <c r="D103" s="11" t="inlineStr"/>
    </row>
    <row r="104">
      <c r="A104" s="10" t="inlineStr">
        <is>
          <t>Sublimação: % e cores</t>
        </is>
      </c>
      <c r="B104" s="11" t="inlineStr">
        <is>
          <t>Aberta</t>
        </is>
      </c>
      <c r="C104" s="11" t="inlineStr"/>
      <c r="D104" s="11" t="inlineStr"/>
    </row>
    <row r="105">
      <c r="A105" s="10" t="inlineStr">
        <is>
          <t>Bloqueador de migração no plastisol</t>
        </is>
      </c>
      <c r="B105" s="11" t="inlineStr">
        <is>
          <t>Aberta</t>
        </is>
      </c>
      <c r="C105" s="11" t="inlineStr"/>
      <c r="D105" s="11" t="inlineStr"/>
    </row>
    <row r="106">
      <c r="A106" s="10" t="inlineStr">
        <is>
          <t>Orçamento silk 1 cor peito, bordado, etiqueta</t>
        </is>
      </c>
      <c r="B106" s="11" t="inlineStr">
        <is>
          <t>Aberta</t>
        </is>
      </c>
      <c r="C106" s="11" t="inlineStr"/>
      <c r="D106" s="11" t="inlineStr"/>
    </row>
    <row r="108">
      <c r="A108" s="27" t="inlineStr">
        <is>
          <t>11. Fluxo de prompts de lookbook (docs/shop-confeccao/prompts/P11-prompts.md)</t>
        </is>
      </c>
      <c r="B108" s="28" t="n"/>
      <c r="C108" s="28" t="n"/>
      <c r="D108" s="28" t="n"/>
      <c r="E108" s="28" t="n"/>
      <c r="F108" s="28" t="n"/>
    </row>
    <row r="109">
      <c r="A109" s="9" t="inlineStr">
        <is>
          <t>Foto</t>
        </is>
      </c>
      <c r="B109" s="9" t="inlineStr">
        <is>
          <t>Origem no print</t>
        </is>
      </c>
      <c r="C109" s="9" t="inlineStr">
        <is>
          <t>Formato</t>
        </is>
      </c>
      <c r="D109" s="9" t="inlineStr">
        <is>
          <t>Status</t>
        </is>
      </c>
    </row>
    <row r="110">
      <c r="A110" s="10" t="inlineStr">
        <is>
          <t>F1 — Frontal olhar lateral</t>
        </is>
      </c>
      <c r="B110" s="10" t="inlineStr">
        <is>
          <t>Origem: fotos #1 (cinza claro), #11 (bege) e #15 (branco) da galeria (frontal com leve giro, braços soltos, olhar para fora)</t>
        </is>
      </c>
      <c r="C110" s="10" t="inlineStr">
        <is>
          <t>4:5</t>
        </is>
      </c>
      <c r="D110" s="11" t="inlineStr">
        <is>
          <t>A gerar</t>
        </is>
      </c>
    </row>
    <row r="111">
      <c r="A111" s="10" t="inlineStr">
        <is>
          <t>F2 — Mão na nuca</t>
        </is>
      </c>
      <c r="B111" s="10" t="inlineStr">
        <is>
          <t>Origem: fotos #2 (cinza claro), #5 (preto) e #10 (azul) da galeria</t>
        </is>
      </c>
      <c r="C111" s="10" t="inlineStr">
        <is>
          <t>4:5</t>
        </is>
      </c>
      <c r="D111" s="11" t="inlineStr">
        <is>
          <t>A gerar</t>
        </is>
      </c>
    </row>
    <row r="112">
      <c r="A112" s="10" t="inlineStr">
        <is>
          <t>F3 — Mãos na barra</t>
        </is>
      </c>
      <c r="B112" s="10" t="inlineStr">
        <is>
          <t>Origem: fotos #3 (cinza claro, olhar direto) e #8 (azul, olhar para o lado) da galeria</t>
        </is>
      </c>
      <c r="C112" s="10" t="inlineStr">
        <is>
          <t>4:5</t>
        </is>
      </c>
      <c r="D112" s="11" t="inlineStr">
        <is>
          <t>A gerar</t>
        </is>
      </c>
    </row>
    <row r="113">
      <c r="A113" s="10" t="inlineStr">
        <is>
          <t>F4 — Detalhe gola desagulhada</t>
        </is>
      </c>
      <c r="B113" s="10" t="inlineStr">
        <is>
          <t>Origem: fotos #4 (cinza claro), #6 (preto), #9 (azul) e #14 (bege) da galeria</t>
        </is>
      </c>
      <c r="C113" s="10" t="inlineStr">
        <is>
          <t>4:5</t>
        </is>
      </c>
      <c r="D113" s="11" t="inlineStr">
        <is>
          <t>A gerar</t>
        </is>
      </c>
    </row>
    <row r="114">
      <c r="A114" s="10" t="inlineStr">
        <is>
          <t>F5 — Frontal olhar direto</t>
        </is>
      </c>
      <c r="B114" s="10" t="inlineStr">
        <is>
          <t>Origem: fotos #7 (preto) e #13 (bege) da galeria (frontal, braços soltos, olhar na câmera)</t>
        </is>
      </c>
      <c r="C114" s="10" t="inlineStr">
        <is>
          <t>4:5</t>
        </is>
      </c>
      <c r="D114" s="11" t="inlineStr">
        <is>
          <t>A gerar</t>
        </is>
      </c>
    </row>
    <row r="115">
      <c r="A115" s="10" t="inlineStr">
        <is>
          <t>F6 — Olhar para baixo, mão na barra</t>
        </is>
      </c>
      <c r="B115" s="10" t="inlineStr">
        <is>
          <t>Origem: foto #12 da galeria (bege, cabeça baixa, uma mão na barra)</t>
        </is>
      </c>
      <c r="C115" s="10" t="inlineStr">
        <is>
          <t>4:5</t>
        </is>
      </c>
      <c r="D115" s="11" t="inlineStr">
        <is>
          <t>A gerar</t>
        </is>
      </c>
    </row>
  </sheetData>
  <mergeCells count="40">
    <mergeCell ref="B4:F4"/>
    <mergeCell ref="A90:C90"/>
    <mergeCell ref="B7:F7"/>
    <mergeCell ref="A84:F84"/>
    <mergeCell ref="A80:F80"/>
    <mergeCell ref="A89:C89"/>
    <mergeCell ref="B15:E15"/>
    <mergeCell ref="B24:E24"/>
    <mergeCell ref="B20:E20"/>
    <mergeCell ref="D91:F91"/>
    <mergeCell ref="A85:F85"/>
    <mergeCell ref="B11:F11"/>
    <mergeCell ref="D93:F93"/>
    <mergeCell ref="B16:E16"/>
    <mergeCell ref="B25:E25"/>
    <mergeCell ref="A91:C91"/>
    <mergeCell ref="B8:F8"/>
    <mergeCell ref="D92:F92"/>
    <mergeCell ref="B22:E22"/>
    <mergeCell ref="A81:F81"/>
    <mergeCell ref="B18:E18"/>
    <mergeCell ref="D89:F89"/>
    <mergeCell ref="A93:C93"/>
    <mergeCell ref="B10:F10"/>
    <mergeCell ref="D94:F94"/>
    <mergeCell ref="B21:E21"/>
    <mergeCell ref="A34:F34"/>
    <mergeCell ref="A83:F83"/>
    <mergeCell ref="A92:C92"/>
    <mergeCell ref="B9:F9"/>
    <mergeCell ref="B17:E17"/>
    <mergeCell ref="B23:E23"/>
    <mergeCell ref="A82:F82"/>
    <mergeCell ref="D90:F90"/>
    <mergeCell ref="B6:F6"/>
    <mergeCell ref="A45:F45"/>
    <mergeCell ref="B5:F5"/>
    <mergeCell ref="D96:F96"/>
    <mergeCell ref="B19:E19"/>
    <mergeCell ref="D95:F9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P12 — Camiseta Malhão Compact Algodão BCI 280g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HMZT-P12-REG-BCI280</t>
        </is>
      </c>
    </row>
    <row r="5">
      <c r="A5" s="24" t="inlineStr">
        <is>
          <t>Fornecedor</t>
        </is>
      </c>
      <c r="B5" s="2" t="inlineStr">
        <is>
          <t>Lunfe Malhas — fabricação própria, Itajaí-SC</t>
        </is>
      </c>
    </row>
    <row r="6">
      <c r="A6" s="24" t="inlineStr">
        <is>
          <t>Referência</t>
        </is>
      </c>
      <c r="B6" s="2" t="inlineStr">
        <is>
          <t>7908365100783</t>
        </is>
      </c>
    </row>
    <row r="7">
      <c r="A7" s="24" t="inlineStr">
        <is>
          <t>URL</t>
        </is>
      </c>
      <c r="B7" s="2" t="inlineStr">
        <is>
          <t>lunfemalhas.com.br/camiseta-malhao-compact-atacado-algodao-bci-lunfe</t>
        </is>
      </c>
    </row>
    <row r="8">
      <c r="A8" s="24" t="inlineStr">
        <is>
          <t>Categoria no site</t>
        </is>
      </c>
      <c r="B8" s="2" t="inlineStr">
        <is>
          <t>Camisetas › Masculino › Regular Fit</t>
        </is>
      </c>
    </row>
    <row r="9">
      <c r="A9" s="24" t="inlineStr">
        <is>
          <t>Linha HMZT recomendada</t>
        </is>
      </c>
      <c r="B9" s="2" t="inlineStr">
        <is>
          <t>Heavy — regular 100% algodão</t>
        </is>
      </c>
    </row>
    <row r="10">
      <c r="A10" s="24" t="inlineStr">
        <is>
          <t>Estoque</t>
        </is>
      </c>
      <c r="B10" s="2" t="inlineStr">
        <is>
          <t>Disponibilidade imediata; 8 cores; despacho em 24h úteis</t>
        </is>
      </c>
    </row>
    <row r="11">
      <c r="A11" s="24" t="inlineStr">
        <is>
          <t>Descritor canônico (IA)</t>
        </is>
      </c>
      <c r="B11" s="2" t="inlineStr">
        <is>
          <t>Camiseta masculina regular fit heavyweight, manga curta reta até o meio do bíceps com barra dupla, gola careca de ribana 2/1 firme e rente, malha 100% algodão de 280 g/m² densa e fosca com trama compacta levemente granulada, caimento estruturado que se sustenta sem colar, barra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BCI</t>
        </is>
      </c>
      <c r="C15" s="29" t="n"/>
      <c r="D15" s="29" t="n"/>
      <c r="E15" s="30" t="n"/>
    </row>
    <row r="16">
      <c r="A16" s="10" t="inlineStr">
        <is>
          <t>Fio</t>
        </is>
      </c>
      <c r="B16" s="10" t="inlineStr">
        <is>
          <t>26/1 penteado 'compact' (texto chama de 'fio fino' — é mais grosso que 30/1)</t>
        </is>
      </c>
      <c r="C16" s="29" t="n"/>
      <c r="D16" s="29" t="n"/>
      <c r="E16" s="30" t="n"/>
    </row>
    <row r="17">
      <c r="A17" s="10" t="inlineStr">
        <is>
          <t>Gramatura</t>
        </is>
      </c>
      <c r="B17" s="10" t="inlineStr">
        <is>
          <t>280 g/m²</t>
        </is>
      </c>
      <c r="C17" s="29" t="n"/>
      <c r="D17" s="29" t="n"/>
      <c r="E17" s="30" t="n"/>
    </row>
    <row r="18">
      <c r="A18" s="10" t="inlineStr">
        <is>
          <t>Modelagem</t>
        </is>
      </c>
      <c r="B18" s="10" t="inlineStr">
        <is>
          <t>Regular fit unissex (tabela masculina)</t>
        </is>
      </c>
      <c r="C18" s="29" t="n"/>
      <c r="D18" s="29" t="n"/>
      <c r="E18" s="30" t="n"/>
    </row>
    <row r="19">
      <c r="A19" s="10" t="inlineStr">
        <is>
          <t>Gola</t>
        </is>
      </c>
      <c r="B19" s="10" t="inlineStr">
        <is>
          <t>Ribana 2/1</t>
        </is>
      </c>
      <c r="C19" s="29" t="n"/>
      <c r="D19" s="29" t="n"/>
      <c r="E19" s="30" t="n"/>
    </row>
    <row r="20">
      <c r="A20" s="10" t="inlineStr">
        <is>
          <t>Costuras</t>
        </is>
      </c>
      <c r="B20" s="10" t="inlineStr">
        <is>
          <t>Reforçadas, ponto conjugado</t>
        </is>
      </c>
      <c r="C20" s="29" t="n"/>
      <c r="D20" s="29" t="n"/>
      <c r="E20" s="30" t="n"/>
    </row>
    <row r="21">
      <c r="A21" s="10" t="inlineStr">
        <is>
          <t>Tratamentos</t>
        </is>
      </c>
      <c r="B21" s="10" t="inlineStr">
        <is>
          <t>Pré-encolhida</t>
        </is>
      </c>
      <c r="C21" s="29" t="n"/>
      <c r="D21" s="29" t="n"/>
      <c r="E21" s="30" t="n"/>
    </row>
    <row r="22">
      <c r="A22" s="10" t="inlineStr">
        <is>
          <t>BCI</t>
        </is>
      </c>
      <c r="B22" s="10" t="inlineStr">
        <is>
          <t>Declarado; sem comprovante; BCI não garante rastreabilidade física</t>
        </is>
      </c>
      <c r="C22" s="29" t="n"/>
      <c r="D22" s="29" t="n"/>
      <c r="E22" s="30" t="n"/>
    </row>
    <row r="23">
      <c r="A23" s="10" t="inlineStr">
        <is>
          <t>OEKO-TEX</t>
        </is>
      </c>
      <c r="B23" s="10" t="inlineStr">
        <is>
          <t>Declarado; sem nº de certificado</t>
        </is>
      </c>
      <c r="C23" s="29" t="n"/>
      <c r="D23" s="29" t="n"/>
      <c r="E23" s="30" t="n"/>
    </row>
    <row r="24">
      <c r="A24" s="10" t="inlineStr">
        <is>
          <t>Sustentável</t>
        </is>
      </c>
      <c r="B24" s="10" t="inlineStr">
        <is>
          <t>'Premium sustentável', 'consciência ambiental'</t>
        </is>
      </c>
      <c r="C24" s="29" t="n"/>
      <c r="D24" s="29" t="n"/>
      <c r="E24" s="30" t="n"/>
    </row>
    <row r="25">
      <c r="A25" s="10" t="inlineStr">
        <is>
          <t>Produção</t>
        </is>
      </c>
      <c r="B25" s="10" t="inlineStr">
        <is>
          <t>Fabricação própria — Itajaí, SC</t>
        </is>
      </c>
      <c r="C25" s="29" t="n"/>
      <c r="D25" s="29" t="n"/>
      <c r="E25" s="30" t="n"/>
    </row>
    <row r="27">
      <c r="A27" s="27" t="inlineStr">
        <is>
          <t>3. Tabela de medidas (cm)</t>
        </is>
      </c>
      <c r="B27" s="28" t="n"/>
      <c r="C27" s="28" t="n"/>
      <c r="D27" s="28" t="n"/>
      <c r="E27" s="28" t="n"/>
      <c r="F27" s="28" t="n"/>
    </row>
    <row r="28">
      <c r="A28" s="9" t="inlineStr">
        <is>
          <t>Tamanho</t>
        </is>
      </c>
      <c r="B28" s="9" t="inlineStr">
        <is>
          <t>Comprimento</t>
        </is>
      </c>
      <c r="C28" s="9" t="inlineStr">
        <is>
          <t>Largura</t>
        </is>
      </c>
      <c r="D28" s="9" t="inlineStr">
        <is>
          <t>Ombros</t>
        </is>
      </c>
      <c r="E28" s="9" t="inlineStr">
        <is>
          <t>Mangas</t>
        </is>
      </c>
    </row>
    <row r="29">
      <c r="A29" s="10" t="inlineStr">
        <is>
          <t>P</t>
        </is>
      </c>
      <c r="B29" s="11" t="n">
        <v>70</v>
      </c>
      <c r="C29" s="11" t="n">
        <v>52</v>
      </c>
      <c r="D29" s="11" t="n">
        <v>44</v>
      </c>
      <c r="E29" s="11" t="n">
        <v>16</v>
      </c>
    </row>
    <row r="30">
      <c r="A30" s="10" t="inlineStr">
        <is>
          <t>M</t>
        </is>
      </c>
      <c r="B30" s="11" t="n">
        <v>72</v>
      </c>
      <c r="C30" s="11" t="n">
        <v>54</v>
      </c>
      <c r="D30" s="11" t="n">
        <v>46</v>
      </c>
      <c r="E30" s="11" t="n">
        <v>18</v>
      </c>
    </row>
    <row r="31">
      <c r="A31" s="10" t="inlineStr">
        <is>
          <t>G</t>
        </is>
      </c>
      <c r="B31" s="11" t="n">
        <v>74</v>
      </c>
      <c r="C31" s="11" t="n">
        <v>56</v>
      </c>
      <c r="D31" s="11" t="n">
        <v>48</v>
      </c>
      <c r="E31" s="11" t="n">
        <v>20</v>
      </c>
    </row>
    <row r="32">
      <c r="A32" s="10" t="inlineStr">
        <is>
          <t>GG</t>
        </is>
      </c>
      <c r="B32" s="11" t="n">
        <v>76</v>
      </c>
      <c r="C32" s="11" t="n">
        <v>58</v>
      </c>
      <c r="D32" s="11" t="n">
        <v>50</v>
      </c>
      <c r="E32" s="11" t="n">
        <v>22</v>
      </c>
    </row>
    <row r="33">
      <c r="A33" s="10" t="inlineStr">
        <is>
          <t>EG</t>
        </is>
      </c>
      <c r="B33" s="11" t="n">
        <v>78</v>
      </c>
      <c r="C33" s="11" t="n">
        <v>60</v>
      </c>
      <c r="D33" s="11" t="n">
        <v>52</v>
      </c>
      <c r="E33" s="11" t="n">
        <v>24</v>
      </c>
    </row>
    <row r="34" ht="30" customHeight="1">
      <c r="A34" s="2" t="inlineStr">
        <is>
          <t>Molde regular único Lunfe, em cm, variação 1–2 cm. Modelo 1,84 m / 84 kg veste M. ⚠️ Vendido como unissex com a tabela masculina — pedir grade feminina/PP.</t>
        </is>
      </c>
    </row>
    <row r="35">
      <c r="A35" s="15" t="inlineStr">
        <is>
          <t>Modelo das fotos: 1,84 m · 84 kg · veste M</t>
        </is>
      </c>
    </row>
    <row r="37">
      <c r="A37" s="27" t="inlineStr">
        <is>
          <t>4. Cores disponíveis</t>
        </is>
      </c>
      <c r="B37" s="28" t="n"/>
      <c r="C37" s="28" t="n"/>
      <c r="D37" s="28" t="n"/>
      <c r="E37" s="28" t="n"/>
      <c r="F37" s="28" t="n"/>
    </row>
    <row r="38">
      <c r="A38" s="9" t="inlineStr">
        <is>
          <t>Cor</t>
        </is>
      </c>
      <c r="B38" s="9" t="inlineStr">
        <is>
          <t>Código HMZT</t>
        </is>
      </c>
      <c r="C38" s="9" t="inlineStr">
        <is>
          <t>Ref. fornecedor</t>
        </is>
      </c>
      <c r="D38" s="9" t="inlineStr">
        <is>
          <t>Observação</t>
        </is>
      </c>
    </row>
    <row r="39">
      <c r="A39" s="10" t="inlineStr">
        <is>
          <t>Grafite</t>
        </is>
      </c>
      <c r="B39" s="10" t="inlineStr">
        <is>
          <t>GRF</t>
        </is>
      </c>
      <c r="C39" s="10" t="inlineStr">
        <is>
          <t>—</t>
        </is>
      </c>
      <c r="D39" s="10" t="inlineStr">
        <is>
          <t>Seletor 'Grafitte'; cinza escuro arroxeado nas fotos</t>
        </is>
      </c>
    </row>
    <row r="40">
      <c r="A40" s="10" t="inlineStr">
        <is>
          <t>Off White</t>
        </is>
      </c>
      <c r="B40" s="10" t="inlineStr">
        <is>
          <t>OFF</t>
        </is>
      </c>
      <c r="C40" s="10" t="inlineStr">
        <is>
          <t>—</t>
        </is>
      </c>
      <c r="D40" s="10" t="inlineStr"/>
    </row>
    <row r="41">
      <c r="A41" s="10" t="inlineStr">
        <is>
          <t>Terracota</t>
        </is>
      </c>
      <c r="B41" s="10" t="inlineStr">
        <is>
          <t>TER</t>
        </is>
      </c>
      <c r="C41" s="10" t="inlineStr">
        <is>
          <t>—</t>
        </is>
      </c>
      <c r="D41" s="10" t="inlineStr">
        <is>
          <t>Sem foto</t>
        </is>
      </c>
    </row>
    <row r="42">
      <c r="A42" s="10" t="inlineStr">
        <is>
          <t>Marrom</t>
        </is>
      </c>
      <c r="B42" s="10" t="inlineStr">
        <is>
          <t>MRR</t>
        </is>
      </c>
      <c r="C42" s="10" t="inlineStr">
        <is>
          <t>—</t>
        </is>
      </c>
      <c r="D42" s="10" t="inlineStr">
        <is>
          <t>Sem foto</t>
        </is>
      </c>
    </row>
    <row r="43">
      <c r="A43" s="10" t="inlineStr">
        <is>
          <t>Caramelo</t>
        </is>
      </c>
      <c r="B43" s="10" t="inlineStr">
        <is>
          <t>CAR</t>
        </is>
      </c>
      <c r="C43" s="10" t="inlineStr">
        <is>
          <t>—</t>
        </is>
      </c>
      <c r="D43" s="10" t="inlineStr"/>
    </row>
    <row r="44">
      <c r="A44" s="10" t="inlineStr">
        <is>
          <t>Bege</t>
        </is>
      </c>
      <c r="B44" s="10" t="inlineStr">
        <is>
          <t>BGE</t>
        </is>
      </c>
      <c r="C44" s="10" t="inlineStr">
        <is>
          <t>—</t>
        </is>
      </c>
      <c r="D44" s="10" t="inlineStr">
        <is>
          <t>Sem foto</t>
        </is>
      </c>
    </row>
    <row r="45">
      <c r="A45" s="10" t="inlineStr">
        <is>
          <t>Verde Militar</t>
        </is>
      </c>
      <c r="B45" s="10" t="inlineStr">
        <is>
          <t>VML</t>
        </is>
      </c>
      <c r="C45" s="10" t="inlineStr">
        <is>
          <t>—</t>
        </is>
      </c>
      <c r="D45" s="10" t="inlineStr"/>
    </row>
    <row r="46">
      <c r="A46" s="10" t="inlineStr">
        <is>
          <t>Azul Marinho</t>
        </is>
      </c>
      <c r="B46" s="10" t="inlineStr">
        <is>
          <t>MAR</t>
        </is>
      </c>
      <c r="C46" s="10" t="inlineStr">
        <is>
          <t>—</t>
        </is>
      </c>
      <c r="D46" s="10" t="inlineStr">
        <is>
          <t>Sem foto</t>
        </is>
      </c>
    </row>
    <row r="47" ht="30" customHeight="1">
      <c r="A47" s="2" t="inlineStr">
        <is>
          <t>8 cores em paleta terrosa; sem refs. de cor do fornecedor. Fotografadas: grafite, verde militar, off white, caramelo.</t>
        </is>
      </c>
    </row>
    <row r="49">
      <c r="A49" s="27" t="inlineStr">
        <is>
          <t>5. Personalização (preço sempre sob orçamento)</t>
        </is>
      </c>
      <c r="B49" s="28" t="n"/>
      <c r="C49" s="28" t="n"/>
      <c r="D49" s="28" t="n"/>
      <c r="E49" s="28" t="n"/>
      <c r="F49" s="28" t="n"/>
    </row>
    <row r="50">
      <c r="A50" s="9" t="inlineStr">
        <is>
          <t>Técnica</t>
        </is>
      </c>
      <c r="B50" s="9" t="inlineStr">
        <is>
          <t>Detalhe</t>
        </is>
      </c>
      <c r="C50" s="9" t="inlineStr">
        <is>
          <t>Mínimo</t>
        </is>
      </c>
    </row>
    <row r="51">
      <c r="A51" s="10" t="inlineStr">
        <is>
          <t>Bordado</t>
        </is>
      </c>
      <c r="B51" s="10" t="inlineStr">
        <is>
          <t>Peito — malha firme não repuxa</t>
        </is>
      </c>
      <c r="C51" s="10" t="inlineStr">
        <is>
          <t>20 pç</t>
        </is>
      </c>
    </row>
    <row r="52">
      <c r="A52" s="10" t="inlineStr">
        <is>
          <t>Silk base d'água</t>
        </is>
      </c>
      <c r="B52" s="10" t="inlineStr">
        <is>
          <t>Frente/costas</t>
        </is>
      </c>
      <c r="C52" s="10" t="inlineStr">
        <is>
          <t>20 pç</t>
        </is>
      </c>
    </row>
    <row r="53">
      <c r="A53" s="10" t="inlineStr">
        <is>
          <t>DTF</t>
        </is>
      </c>
      <c r="B53" s="10" t="inlineStr">
        <is>
          <t>Full color</t>
        </is>
      </c>
      <c r="C53" s="10" t="inlineStr">
        <is>
          <t>20 pç</t>
        </is>
      </c>
    </row>
    <row r="54">
      <c r="A54" s="10" t="inlineStr">
        <is>
          <t>Etiqueta private label</t>
        </is>
      </c>
      <c r="B54" s="10" t="inlineStr">
        <is>
          <t>Interna + tag</t>
        </is>
      </c>
      <c r="C54" s="10" t="inlineStr">
        <is>
          <t>20 pç</t>
        </is>
      </c>
    </row>
    <row r="56">
      <c r="A56" s="27" t="inlineStr">
        <is>
          <t>6. Preços do fornecedor (desconto progressivo)</t>
        </is>
      </c>
      <c r="B56" s="28" t="n"/>
      <c r="C56" s="28" t="n"/>
      <c r="D56" s="28" t="n"/>
      <c r="E56" s="28" t="n"/>
      <c r="F56" s="28" t="n"/>
    </row>
    <row r="57">
      <c r="A57" s="24" t="inlineStr">
        <is>
          <t>Preço base (R$)</t>
        </is>
      </c>
      <c r="B57" s="31" t="n">
        <v>42.08</v>
      </c>
    </row>
    <row r="58">
      <c r="A58" s="17" t="inlineStr">
        <is>
          <t>Faixa</t>
        </is>
      </c>
      <c r="B58" s="17" t="inlineStr">
        <is>
          <t>Peças</t>
        </is>
      </c>
      <c r="C58" s="17" t="inlineStr">
        <is>
          <t>Desconto</t>
        </is>
      </c>
      <c r="D58" s="17" t="inlineStr">
        <is>
          <t>Preço unitário</t>
        </is>
      </c>
      <c r="E58" s="17" t="inlineStr">
        <is>
          <t>Preço + Pix</t>
        </is>
      </c>
    </row>
    <row r="59">
      <c r="A59" s="18" t="inlineStr">
        <is>
          <t>Faixa 1</t>
        </is>
      </c>
      <c r="B59" s="18" t="inlineStr">
        <is>
          <t>20–40</t>
        </is>
      </c>
      <c r="C59" s="32">
        <f>'Regras Fornecedor'!$D$4</f>
        <v/>
      </c>
      <c r="D59" s="33">
        <f>ROUND($B$57*(1-C59),2)</f>
        <v/>
      </c>
      <c r="E59" s="34">
        <f>ROUND(D59*(1-'Regras Fornecedor'!$B$10),2)</f>
        <v/>
      </c>
    </row>
    <row r="60">
      <c r="A60" s="18" t="inlineStr">
        <is>
          <t>Faixa 2</t>
        </is>
      </c>
      <c r="B60" s="18" t="inlineStr">
        <is>
          <t>40–80</t>
        </is>
      </c>
      <c r="C60" s="32">
        <f>'Regras Fornecedor'!$D$5</f>
        <v/>
      </c>
      <c r="D60" s="33">
        <f>ROUND($B$57*(1-C60),2)</f>
        <v/>
      </c>
      <c r="E60" s="34">
        <f>ROUND(D60*(1-'Regras Fornecedor'!$B$10),2)</f>
        <v/>
      </c>
    </row>
    <row r="61">
      <c r="A61" s="18" t="inlineStr">
        <is>
          <t>Faixa 3</t>
        </is>
      </c>
      <c r="B61" s="18" t="inlineStr">
        <is>
          <t>80–100</t>
        </is>
      </c>
      <c r="C61" s="32">
        <f>'Regras Fornecedor'!$D$6</f>
        <v/>
      </c>
      <c r="D61" s="33">
        <f>ROUND($B$57*(1-C61),2)</f>
        <v/>
      </c>
      <c r="E61" s="34">
        <f>ROUND(D61*(1-'Regras Fornecedor'!$B$10),2)</f>
        <v/>
      </c>
    </row>
    <row r="62">
      <c r="A62" s="18" t="inlineStr">
        <is>
          <t>Faixa 4</t>
        </is>
      </c>
      <c r="B62" s="18" t="inlineStr">
        <is>
          <t>100–300</t>
        </is>
      </c>
      <c r="C62" s="32">
        <f>'Regras Fornecedor'!$D$7</f>
        <v/>
      </c>
      <c r="D62" s="33">
        <f>ROUND($B$57*(1-C62),2)</f>
        <v/>
      </c>
      <c r="E62" s="34">
        <f>ROUND(D62*(1-'Regras Fornecedor'!$B$10),2)</f>
        <v/>
      </c>
    </row>
    <row r="63">
      <c r="A63" s="18" t="inlineStr">
        <is>
          <t>Faixa 5</t>
        </is>
      </c>
      <c r="B63" s="18" t="inlineStr">
        <is>
          <t>300–999</t>
        </is>
      </c>
      <c r="C63" s="32">
        <f>'Regras Fornecedor'!$D$8</f>
        <v/>
      </c>
      <c r="D63" s="33">
        <f>ROUND($B$57*(1-C63),2)</f>
        <v/>
      </c>
      <c r="E63" s="34">
        <f>ROUND(D63*(1-'Regras Fornecedor'!$B$10),2)</f>
        <v/>
      </c>
    </row>
    <row r="65">
      <c r="A65" s="27" t="inlineStr">
        <is>
          <t>7. Custo HMZT e margem (lote de 20 peças, Pix)</t>
        </is>
      </c>
      <c r="B65" s="28" t="n"/>
      <c r="C65" s="28" t="n"/>
      <c r="D65" s="28" t="n"/>
      <c r="E65" s="28" t="n"/>
      <c r="F65" s="28" t="n"/>
    </row>
    <row r="66">
      <c r="A66" s="24" t="inlineStr">
        <is>
          <t>Peça (20 pç, Pix)</t>
        </is>
      </c>
      <c r="B66" s="35">
        <f>E59</f>
        <v/>
      </c>
    </row>
    <row r="67">
      <c r="A67" s="24" t="inlineStr">
        <is>
          <t>Personalização + etiqueta + tag (R$/pç)</t>
        </is>
      </c>
      <c r="B67" s="36" t="n">
        <v>12</v>
      </c>
      <c r="C67" s="15" t="inlineStr">
        <is>
          <t>Estimativa HMZT — trocar pelo orçamento real</t>
        </is>
      </c>
    </row>
    <row r="68">
      <c r="A68" s="24" t="inlineStr">
        <is>
          <t>Frete rateado + embalagem (R$/pç)</t>
        </is>
      </c>
      <c r="B68" s="36" t="n">
        <v>5</v>
      </c>
      <c r="C68" s="15" t="inlineStr">
        <is>
          <t>Estimativa HMZT — trocar pelo orçamento real</t>
        </is>
      </c>
    </row>
    <row r="69">
      <c r="A69" s="24" t="inlineStr">
        <is>
          <t>Custo unitário estimado</t>
        </is>
      </c>
      <c r="B69" s="37">
        <f>SUM(B66:B68)</f>
        <v/>
      </c>
    </row>
    <row r="70">
      <c r="A70" s="24" t="inlineStr">
        <is>
          <t>Preço de venda HMZT (R$)</t>
        </is>
      </c>
      <c r="B70" s="36" t="n">
        <v>149</v>
      </c>
      <c r="C70" s="15" t="inlineStr">
        <is>
          <t>Sugestão do dossiê — ajustar</t>
        </is>
      </c>
    </row>
    <row r="71">
      <c r="A71" s="24" t="inlineStr">
        <is>
          <t>Impostos + gateway (% do preço)</t>
        </is>
      </c>
      <c r="B71" s="38" t="n">
        <v>0</v>
      </c>
      <c r="C71" s="15" t="inlineStr">
        <is>
          <t>A preencher (Simples + taxa Asaas)</t>
        </is>
      </c>
    </row>
    <row r="72">
      <c r="A72" s="24" t="inlineStr">
        <is>
          <t>Margem bruta (R$)</t>
        </is>
      </c>
      <c r="B72" s="35">
        <f>B70-B69</f>
        <v/>
      </c>
    </row>
    <row r="73">
      <c r="A73" s="24" t="inlineStr">
        <is>
          <t>Margem bruta (%)</t>
        </is>
      </c>
      <c r="B73" s="39">
        <f>IF(B70=0,0,(B70-B69)/B70)</f>
        <v/>
      </c>
    </row>
    <row r="74">
      <c r="A74" s="24" t="inlineStr">
        <is>
          <t>Margem após impostos/gateway (%)</t>
        </is>
      </c>
      <c r="B74" s="39">
        <f>IF(B70=0,0,(B70*(1-B71)-B69)/B70)</f>
        <v/>
      </c>
      <c r="C74" s="15" t="inlineStr">
        <is>
          <t>Ainda sem frete ao cliente e mídia</t>
        </is>
      </c>
    </row>
    <row r="76">
      <c r="A76" s="27" t="inlineStr">
        <is>
          <t>8. Contradições e erros ⚠️</t>
        </is>
      </c>
      <c r="B76" s="28" t="n"/>
      <c r="C76" s="28" t="n"/>
      <c r="D76" s="28" t="n"/>
      <c r="E76" s="28" t="n"/>
      <c r="F76" s="28" t="n"/>
    </row>
    <row r="77">
      <c r="A77" s="8" t="inlineStr">
        <is>
          <t>⚠️ FAQ chama o fio 26/1 de 'fino'; 26/1 é mais grosso que 30/1.</t>
        </is>
      </c>
    </row>
    <row r="78">
      <c r="A78" s="8" t="inlineStr">
        <is>
          <t>⚠️ 'BCI garante rastreabilidade': Better Cotton opera por balanço de massa; uso do nome em produto exige licença.</t>
        </is>
      </c>
    </row>
    <row r="79">
      <c r="A79" s="8" t="inlineStr">
        <is>
          <t>⚠️ OEKO-TEX citado sem nº de certificado.</t>
        </is>
      </c>
    </row>
    <row r="80">
      <c r="A80" s="8" t="inlineStr">
        <is>
          <t>⚠️ Preço base R$ 42,08 nesta página × R$ 42,09 em outro texto Lunfe (mínimo R$ 29,46 nos dois).</t>
        </is>
      </c>
    </row>
    <row r="81">
      <c r="A81" s="8" t="inlineStr">
        <is>
          <t>⚠️ Seletor 'Grafitte' × texto 'Grafite'.</t>
        </is>
      </c>
    </row>
    <row r="82">
      <c r="A82" s="8" t="inlineStr">
        <is>
          <t>⚠️ 'Unissex' com a mesma tabela do regular masculino.</t>
        </is>
      </c>
    </row>
    <row r="83">
      <c r="A83" s="8" t="inlineStr">
        <is>
          <t>⚠️ Aqui 280 g é 'confortável no clima brasileiro'; na página da P02 o fornecedor diz que 280–300 g é quente e sazonal.</t>
        </is>
      </c>
    </row>
    <row r="84">
      <c r="A84" s="8" t="inlineStr">
        <is>
          <t>⚠️ 'Malhão' também nomeia a P10 (Malhão Suedine) — malhas diferentes.</t>
        </is>
      </c>
    </row>
    <row r="86">
      <c r="A86" s="27" t="inlineStr">
        <is>
          <t>9. Comunicação HMZT</t>
        </is>
      </c>
      <c r="B86" s="28" t="n"/>
      <c r="C86" s="28" t="n"/>
      <c r="D86" s="28" t="n"/>
      <c r="E86" s="28" t="n"/>
      <c r="F86" s="28" t="n"/>
    </row>
    <row r="87">
      <c r="A87" s="24" t="inlineStr">
        <is>
          <t>✅ Pode usar</t>
        </is>
      </c>
      <c r="D87" s="24" t="inlineStr">
        <is>
          <t>📣 / ⛔ Não usar</t>
        </is>
      </c>
    </row>
    <row r="88">
      <c r="A88" s="40" t="inlineStr">
        <is>
          <t>100% algodão, malha encorpada de 280 g/m².</t>
        </is>
      </c>
      <c r="D88" s="8" t="inlineStr">
        <is>
          <t>Premium sustentável / consciência ambiental / rastreabilidade sustentável.</t>
        </is>
      </c>
    </row>
    <row r="89">
      <c r="A89" s="40" t="inlineStr">
        <is>
          <t>Estrutura que mantém a forma no corpo.</t>
        </is>
      </c>
      <c r="D89" s="8" t="inlineStr">
        <is>
          <t>O cliente percebe qualidade antes de vestir / impõe presença.</t>
        </is>
      </c>
    </row>
    <row r="90">
      <c r="A90" s="40" t="inlineStr">
        <is>
          <t>Gola em ribana 2/1, costuras reforçadas, pré-encolhida.</t>
        </is>
      </c>
      <c r="D90" s="8" t="inlineStr">
        <is>
          <t>Equilíbrio raro no mercado.</t>
        </is>
      </c>
    </row>
    <row r="91">
      <c r="A91" s="40" t="inlineStr">
        <is>
          <t>8 cores em paleta terrosa.</t>
        </is>
      </c>
      <c r="D91" s="8" t="inlineStr">
        <is>
          <t>Você está vendendo posicionamento.</t>
        </is>
      </c>
    </row>
    <row r="92">
      <c r="A92" s="40" t="inlineStr">
        <is>
          <t>Fabricada em Santa Catarina.</t>
        </is>
      </c>
      <c r="D92" s="8" t="inlineStr">
        <is>
          <t>Fio fino.</t>
        </is>
      </c>
    </row>
    <row r="93">
      <c r="A93" s="40" t="inlineStr">
        <is>
          <t>'Better Cotton' e 'OEKO-TEX Standard 100' só com nº de licença/certificado.</t>
        </is>
      </c>
      <c r="D93" s="8" t="inlineStr">
        <is>
          <t>Algodão sustentável certificado sem documento.</t>
        </is>
      </c>
    </row>
    <row r="95">
      <c r="A95" s="27" t="inlineStr">
        <is>
          <t>10. Pendências com o fornecedor</t>
        </is>
      </c>
      <c r="B95" s="28" t="n"/>
      <c r="C95" s="28" t="n"/>
      <c r="D95" s="28" t="n"/>
      <c r="E95" s="28" t="n"/>
      <c r="F95" s="28" t="n"/>
    </row>
    <row r="96">
      <c r="A96" s="9" t="inlineStr">
        <is>
          <t>Pendência</t>
        </is>
      </c>
      <c r="B96" s="9" t="inlineStr">
        <is>
          <t>Status</t>
        </is>
      </c>
      <c r="C96" s="9" t="inlineStr">
        <is>
          <t>Responsável</t>
        </is>
      </c>
      <c r="D96" s="9" t="inlineStr">
        <is>
          <t>Resposta</t>
        </is>
      </c>
    </row>
    <row r="97">
      <c r="A97" s="10" t="inlineStr">
        <is>
          <t>Nº OEKO-TEX e comprovante Better Cotton</t>
        </is>
      </c>
      <c r="B97" s="11" t="inlineStr">
        <is>
          <t>Aberta</t>
        </is>
      </c>
      <c r="C97" s="11" t="inlineStr"/>
      <c r="D97" s="11" t="inlineStr"/>
    </row>
    <row r="98">
      <c r="A98" s="10" t="inlineStr">
        <is>
          <t>Origem nacional do algodão por escrito</t>
        </is>
      </c>
      <c r="B98" s="11" t="inlineStr">
        <is>
          <t>Aberta</t>
        </is>
      </c>
      <c r="C98" s="11" t="inlineStr"/>
      <c r="D98" s="11" t="inlineStr"/>
    </row>
    <row r="99">
      <c r="A99" s="10" t="inlineStr">
        <is>
          <t>Significado de 'compact'</t>
        </is>
      </c>
      <c r="B99" s="11" t="inlineStr">
        <is>
          <t>Aberta</t>
        </is>
      </c>
      <c r="C99" s="11" t="inlineStr"/>
      <c r="D99" s="11" t="inlineStr"/>
    </row>
    <row r="100">
      <c r="A100" s="10" t="inlineStr">
        <is>
          <t>Preço R$ 42,08 × R$ 42,09; Pix e parcelamento</t>
        </is>
      </c>
      <c r="B100" s="11" t="inlineStr">
        <is>
          <t>Aberta</t>
        </is>
      </c>
      <c r="C100" s="11" t="inlineStr"/>
      <c r="D100" s="11" t="inlineStr"/>
    </row>
    <row r="101">
      <c r="A101" s="10" t="inlineStr">
        <is>
          <t>Refs. de cor e fotos de Terracota, Marrom, Bege, Marinho</t>
        </is>
      </c>
      <c r="B101" s="11" t="inlineStr">
        <is>
          <t>Aberta</t>
        </is>
      </c>
      <c r="C101" s="11" t="inlineStr"/>
      <c r="D101" s="11" t="inlineStr"/>
    </row>
    <row r="102">
      <c r="A102" s="10" t="inlineStr">
        <is>
          <t>Grade feminina/PP</t>
        </is>
      </c>
      <c r="B102" s="11" t="inlineStr">
        <is>
          <t>Aberta</t>
        </is>
      </c>
      <c r="C102" s="11" t="inlineStr"/>
      <c r="D102" s="11" t="inlineStr"/>
    </row>
    <row r="103">
      <c r="A103" s="10" t="inlineStr">
        <is>
          <t>Orçamento bordado peito + etiqueta + tag</t>
        </is>
      </c>
      <c r="B103" s="11" t="inlineStr">
        <is>
          <t>Aberta</t>
        </is>
      </c>
      <c r="C103" s="11" t="inlineStr"/>
      <c r="D103" s="11" t="inlineStr"/>
    </row>
    <row r="104">
      <c r="A104" s="10" t="inlineStr">
        <is>
          <t>Frete Itajaí → SP</t>
        </is>
      </c>
      <c r="B104" s="11" t="inlineStr">
        <is>
          <t>Aberta</t>
        </is>
      </c>
      <c r="C104" s="11" t="inlineStr"/>
      <c r="D104" s="11" t="inlineStr"/>
    </row>
    <row r="106">
      <c r="A106" s="27" t="inlineStr">
        <is>
          <t>11. Fluxo de prompts de lookbook (docs/shop-confeccao/prompts/P12-prompts.md)</t>
        </is>
      </c>
      <c r="B106" s="28" t="n"/>
      <c r="C106" s="28" t="n"/>
      <c r="D106" s="28" t="n"/>
      <c r="E106" s="28" t="n"/>
      <c r="F106" s="28" t="n"/>
    </row>
    <row r="107">
      <c r="A107" s="9" t="inlineStr">
        <is>
          <t>Foto</t>
        </is>
      </c>
      <c r="B107" s="9" t="inlineStr">
        <is>
          <t>Origem no print</t>
        </is>
      </c>
      <c r="C107" s="9" t="inlineStr">
        <is>
          <t>Formato</t>
        </is>
      </c>
      <c r="D107" s="9" t="inlineStr">
        <is>
          <t>Status</t>
        </is>
      </c>
    </row>
    <row r="108">
      <c r="A108" s="10" t="inlineStr">
        <is>
          <t>F1 — 3/4 olhar lateral, mão na barra</t>
        </is>
      </c>
      <c r="B108" s="10" t="inlineStr">
        <is>
          <t>Origem: fotos #1 (grafite), #6 (verde militar) e #11 (caramelo) da galeria</t>
        </is>
      </c>
      <c r="C108" s="10" t="inlineStr">
        <is>
          <t>4:5</t>
        </is>
      </c>
      <c r="D108" s="11" t="inlineStr">
        <is>
          <t>A gerar</t>
        </is>
      </c>
    </row>
    <row r="109">
      <c r="A109" s="10" t="inlineStr">
        <is>
          <t>F2 — Detalhe gola e ombro</t>
        </is>
      </c>
      <c r="B109" s="10" t="inlineStr">
        <is>
          <t>Origem: fotos #2 (grafite), #7 (verde militar), #9 e #15 (off white) e #12 (caramelo) da galeria</t>
        </is>
      </c>
      <c r="C109" s="10" t="inlineStr">
        <is>
          <t>4:5</t>
        </is>
      </c>
      <c r="D109" s="11" t="inlineStr">
        <is>
          <t>A gerar</t>
        </is>
      </c>
    </row>
    <row r="110">
      <c r="A110" s="10" t="inlineStr">
        <is>
          <t>F3 — Detalhe barra da manga</t>
        </is>
      </c>
      <c r="B110" s="10" t="inlineStr">
        <is>
          <t>Origem: foto #3 da galeria (grafite, dedos pinçando a barra da manga)</t>
        </is>
      </c>
      <c r="C110" s="10" t="inlineStr">
        <is>
          <t>4:5</t>
        </is>
      </c>
      <c r="D110" s="11" t="inlineStr">
        <is>
          <t>A gerar</t>
        </is>
      </c>
    </row>
    <row r="111">
      <c r="A111" s="10" t="inlineStr">
        <is>
          <t>F4 — Frontal calça preta</t>
        </is>
      </c>
      <c r="B111" s="10" t="inlineStr">
        <is>
          <t>Origem: fotos #4 (grafite) e #8 (off white) da galeria (frontal, braços soltos, calça preta)</t>
        </is>
      </c>
      <c r="C111" s="10" t="inlineStr">
        <is>
          <t>4:5</t>
        </is>
      </c>
      <c r="D111" s="11" t="inlineStr">
        <is>
          <t>A gerar</t>
        </is>
      </c>
    </row>
    <row r="112">
      <c r="A112" s="10" t="inlineStr">
        <is>
          <t>F5 — Frontal jeans</t>
        </is>
      </c>
      <c r="B112" s="10" t="inlineStr">
        <is>
          <t>Origem: fotos #5 (verde militar) e #14 (off white) da galeria</t>
        </is>
      </c>
      <c r="C112" s="10" t="inlineStr">
        <is>
          <t>4:5</t>
        </is>
      </c>
      <c r="D112" s="11" t="inlineStr">
        <is>
          <t>A gerar</t>
        </is>
      </c>
    </row>
    <row r="113">
      <c r="A113" s="10" t="inlineStr">
        <is>
          <t>F6 — Frontal mão na barra</t>
        </is>
      </c>
      <c r="B113" s="10" t="inlineStr">
        <is>
          <t>Origem: fotos #10 (caramelo) e #13 (off white) da galeria</t>
        </is>
      </c>
      <c r="C113" s="10" t="inlineStr">
        <is>
          <t>4:5</t>
        </is>
      </c>
      <c r="D113" s="11" t="inlineStr">
        <is>
          <t>A gerar</t>
        </is>
      </c>
    </row>
  </sheetData>
  <mergeCells count="41">
    <mergeCell ref="B4:F4"/>
    <mergeCell ref="A90:C90"/>
    <mergeCell ref="B7:F7"/>
    <mergeCell ref="A84:F84"/>
    <mergeCell ref="A80:F80"/>
    <mergeCell ref="A89:C89"/>
    <mergeCell ref="B15:E15"/>
    <mergeCell ref="B24:E24"/>
    <mergeCell ref="B20:E20"/>
    <mergeCell ref="D91:F91"/>
    <mergeCell ref="A47:F47"/>
    <mergeCell ref="B11:F11"/>
    <mergeCell ref="D93:F93"/>
    <mergeCell ref="B16:E16"/>
    <mergeCell ref="B25:E25"/>
    <mergeCell ref="A91:C91"/>
    <mergeCell ref="B8:F8"/>
    <mergeCell ref="D92:F92"/>
    <mergeCell ref="B22:E22"/>
    <mergeCell ref="A81:F81"/>
    <mergeCell ref="B18:E18"/>
    <mergeCell ref="D89:F89"/>
    <mergeCell ref="A93:C93"/>
    <mergeCell ref="B10:F10"/>
    <mergeCell ref="B21:E21"/>
    <mergeCell ref="D88:F88"/>
    <mergeCell ref="A34:F34"/>
    <mergeCell ref="A83:F83"/>
    <mergeCell ref="A92:C92"/>
    <mergeCell ref="A77:F77"/>
    <mergeCell ref="B9:F9"/>
    <mergeCell ref="B17:E17"/>
    <mergeCell ref="B23:E23"/>
    <mergeCell ref="A82:F82"/>
    <mergeCell ref="D90:F90"/>
    <mergeCell ref="B6:F6"/>
    <mergeCell ref="B5:F5"/>
    <mergeCell ref="A79:F79"/>
    <mergeCell ref="A88:C88"/>
    <mergeCell ref="B19:E19"/>
    <mergeCell ref="A78:F7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P13 — Camiseta Estonada Regular 175g (Outras Cores)</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HMZT-P13-REG-EST175</t>
        </is>
      </c>
    </row>
    <row r="5">
      <c r="A5" s="24" t="inlineStr">
        <is>
          <t>Fornecedor</t>
        </is>
      </c>
      <c r="B5" s="2" t="inlineStr">
        <is>
          <t>Lunfe Malhas — fabricação própria, Itajaí-SC</t>
        </is>
      </c>
    </row>
    <row r="6">
      <c r="A6" s="24" t="inlineStr">
        <is>
          <t>Referência</t>
        </is>
      </c>
      <c r="B6" s="2" t="inlineStr">
        <is>
          <t>7897564701282</t>
        </is>
      </c>
    </row>
    <row r="7">
      <c r="A7" s="24" t="inlineStr">
        <is>
          <t>URL</t>
        </is>
      </c>
      <c r="B7" s="2" t="inlineStr">
        <is>
          <t>lunfemalhas.com.br/camiseta-estonada-atacado-algodao-penteado-lunfe-oc</t>
        </is>
      </c>
    </row>
    <row r="8">
      <c r="A8" s="24" t="inlineStr">
        <is>
          <t>Categoria no site</t>
        </is>
      </c>
      <c r="B8" s="2" t="inlineStr">
        <is>
          <t>Camisetas › Masculino › Regular Fit</t>
        </is>
      </c>
    </row>
    <row r="9">
      <c r="A9" s="24" t="inlineStr">
        <is>
          <t>Linha HMZT recomendada</t>
        </is>
      </c>
      <c r="B9" s="2" t="inlineStr">
        <is>
          <t>Lavada/Vintage (nova) — base regular</t>
        </is>
      </c>
    </row>
    <row r="10">
      <c r="A10" s="24" t="inlineStr">
        <is>
          <t>Estoque</t>
        </is>
      </c>
      <c r="B10" s="2" t="inlineStr">
        <is>
          <t>Disponibilidade imediata na página (6 cores no seletor); widget de relacionados mostra "Esse acabou" — widget não confiável</t>
        </is>
      </c>
    </row>
    <row r="11">
      <c r="A11" s="24" t="inlineStr">
        <is>
          <t>Descritor canônico (IA)</t>
        </is>
      </c>
      <c r="B11" s="2" t="inlineStr">
        <is>
          <t>Camiseta masculina regular fit, manga curta, algodão penteado 175 g estonado (stone wash): cor lavada irregular em nuvens, mais clara nas costuras, na borda da gola canelada 2/1, nas barras e nos ombros; superfície fosca e macia. Barra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penteado</t>
        </is>
      </c>
      <c r="C15" s="29" t="n"/>
      <c r="D15" s="29" t="n"/>
      <c r="E15" s="30" t="n"/>
    </row>
    <row r="16">
      <c r="A16" s="10" t="inlineStr">
        <is>
          <t>Fio</t>
        </is>
      </c>
      <c r="B16" s="10" t="inlineStr">
        <is>
          <t>30/1 penteado</t>
        </is>
      </c>
      <c r="C16" s="29" t="n"/>
      <c r="D16" s="29" t="n"/>
      <c r="E16" s="30" t="n"/>
    </row>
    <row r="17">
      <c r="A17" s="10" t="inlineStr">
        <is>
          <t>Gramatura</t>
        </is>
      </c>
      <c r="B17" s="10" t="inlineStr">
        <is>
          <t>175 g/m² (texto) × 180 GSM (banner da galeria)</t>
        </is>
      </c>
      <c r="C17" s="29" t="n"/>
      <c r="D17" s="29" t="n"/>
      <c r="E17" s="30" t="n"/>
    </row>
    <row r="18">
      <c r="A18" s="10" t="inlineStr">
        <is>
          <t>Modelagem</t>
        </is>
      </c>
      <c r="B18" s="10" t="inlineStr">
        <is>
          <t>Regular (tabela padrão Lunfe)</t>
        </is>
      </c>
      <c r="C18" s="29" t="n"/>
      <c r="D18" s="29" t="n"/>
      <c r="E18" s="30" t="n"/>
    </row>
    <row r="19">
      <c r="A19" s="10" t="inlineStr">
        <is>
          <t>Acabamento</t>
        </is>
      </c>
      <c r="B19" s="10" t="inlineStr">
        <is>
          <t>Stone wash (lavagem com pedras-pomes) após a confecção + fixação pós-estonagem</t>
        </is>
      </c>
      <c r="C19" s="29" t="n"/>
      <c r="D19" s="29" t="n"/>
      <c r="E19" s="30" t="n"/>
    </row>
    <row r="20">
      <c r="A20" s="10" t="inlineStr">
        <is>
          <t>Gola</t>
        </is>
      </c>
      <c r="B20" s="10" t="inlineStr">
        <is>
          <t>Canelada 2/1, fecho em anel, reforço ombro a ombro</t>
        </is>
      </c>
      <c r="C20" s="29" t="n"/>
      <c r="D20" s="29" t="n"/>
      <c r="E20" s="30" t="n"/>
    </row>
    <row r="21">
      <c r="A21" s="10" t="inlineStr">
        <is>
          <t>Costuras</t>
        </is>
      </c>
      <c r="B21" s="10" t="inlineStr">
        <is>
          <t>Ponto cadeia; barra dupla em mangas e barra</t>
        </is>
      </c>
      <c r="C21" s="29" t="n"/>
      <c r="D21" s="29" t="n"/>
      <c r="E21" s="30" t="n"/>
    </row>
    <row r="22">
      <c r="A22" s="10" t="inlineStr">
        <is>
          <t>Tratamentos</t>
        </is>
      </c>
      <c r="B22" s="10" t="inlineStr">
        <is>
          <t>Pré-encolhimento, anti-torção, amaciamento</t>
        </is>
      </c>
      <c r="C22" s="29" t="n"/>
      <c r="D22" s="29" t="n"/>
      <c r="E22" s="30" t="n"/>
    </row>
    <row r="23">
      <c r="A23" s="10" t="inlineStr">
        <is>
          <t>Tamanhos</t>
        </is>
      </c>
      <c r="B23" s="10" t="inlineStr">
        <is>
          <t>P ao EG (5)</t>
        </is>
      </c>
      <c r="C23" s="29" t="n"/>
      <c r="D23" s="29" t="n"/>
      <c r="E23" s="30" t="n"/>
    </row>
    <row r="24">
      <c r="A24" s="10" t="inlineStr">
        <is>
          <t>Produção</t>
        </is>
      </c>
      <c r="B24" s="10" t="inlineStr">
        <is>
          <t>Fabricação própria Lunfe — Itajaí-SC</t>
        </is>
      </c>
      <c r="C24" s="29" t="n"/>
      <c r="D24" s="29" t="n"/>
      <c r="E24" s="30" t="n"/>
    </row>
    <row r="25">
      <c r="A25" s="10" t="inlineStr">
        <is>
          <t>Toque</t>
        </is>
      </c>
      <c r="B25" s="10" t="inlineStr">
        <is>
          <t>"Ultra macio, como camiseta lavada 50 vezes"</t>
        </is>
      </c>
      <c r="C25" s="29" t="n"/>
      <c r="D25" s="29" t="n"/>
      <c r="E25" s="30" t="n"/>
    </row>
    <row r="26">
      <c r="A26" s="10" t="inlineStr">
        <is>
          <t>Cor</t>
        </is>
      </c>
      <c r="B26" s="10" t="inlineStr">
        <is>
          <t>"Não progride nas lavagens domésticas"</t>
        </is>
      </c>
      <c r="C26" s="29" t="n"/>
      <c r="D26" s="29" t="n"/>
      <c r="E26" s="30" t="n"/>
    </row>
    <row r="27">
      <c r="A27" s="10" t="inlineStr">
        <is>
          <t>Modelo das fotos</t>
        </is>
      </c>
      <c r="B27" s="10" t="inlineStr">
        <is>
          <t>1,79 m / 82 kg (texto) × 1,84 m / 84 kg (P14, mesmo modelo)</t>
        </is>
      </c>
      <c r="C27" s="29" t="n"/>
      <c r="D27" s="29" t="n"/>
      <c r="E27" s="30" t="n"/>
    </row>
    <row r="29">
      <c r="A29" s="27" t="inlineStr">
        <is>
          <t>3. Tabela de medidas (cm)</t>
        </is>
      </c>
      <c r="B29" s="28" t="n"/>
      <c r="C29" s="28" t="n"/>
      <c r="D29" s="28" t="n"/>
      <c r="E29" s="28" t="n"/>
      <c r="F29" s="28" t="n"/>
    </row>
    <row r="30">
      <c r="A30" s="9" t="inlineStr">
        <is>
          <t>Tamanho</t>
        </is>
      </c>
      <c r="B30" s="9" t="inlineStr">
        <is>
          <t>Comprimento</t>
        </is>
      </c>
      <c r="C30" s="9" t="inlineStr">
        <is>
          <t>Largura</t>
        </is>
      </c>
      <c r="D30" s="9" t="inlineStr">
        <is>
          <t>Ombros</t>
        </is>
      </c>
      <c r="E30" s="9" t="inlineStr">
        <is>
          <t>Mangas</t>
        </is>
      </c>
    </row>
    <row r="31">
      <c r="A31" s="10" t="inlineStr">
        <is>
          <t>P</t>
        </is>
      </c>
      <c r="B31" s="11" t="n">
        <v>70</v>
      </c>
      <c r="C31" s="11" t="n">
        <v>52</v>
      </c>
      <c r="D31" s="11" t="n">
        <v>44</v>
      </c>
      <c r="E31" s="11" t="n">
        <v>16</v>
      </c>
    </row>
    <row r="32">
      <c r="A32" s="10" t="inlineStr">
        <is>
          <t>M</t>
        </is>
      </c>
      <c r="B32" s="11" t="n">
        <v>72</v>
      </c>
      <c r="C32" s="11" t="n">
        <v>54</v>
      </c>
      <c r="D32" s="11" t="n">
        <v>46</v>
      </c>
      <c r="E32" s="11" t="n">
        <v>18</v>
      </c>
    </row>
    <row r="33">
      <c r="A33" s="10" t="inlineStr">
        <is>
          <t>G</t>
        </is>
      </c>
      <c r="B33" s="11" t="n">
        <v>74</v>
      </c>
      <c r="C33" s="11" t="n">
        <v>56</v>
      </c>
      <c r="D33" s="11" t="n">
        <v>48</v>
      </c>
      <c r="E33" s="11" t="n">
        <v>20</v>
      </c>
    </row>
    <row r="34">
      <c r="A34" s="10" t="inlineStr">
        <is>
          <t>GG</t>
        </is>
      </c>
      <c r="B34" s="11" t="n">
        <v>76</v>
      </c>
      <c r="C34" s="11" t="n">
        <v>58</v>
      </c>
      <c r="D34" s="11" t="n">
        <v>50</v>
      </c>
      <c r="E34" s="11" t="n">
        <v>22</v>
      </c>
    </row>
    <row r="35">
      <c r="A35" s="10" t="inlineStr">
        <is>
          <t>EG</t>
        </is>
      </c>
      <c r="B35" s="11" t="n">
        <v>78</v>
      </c>
      <c r="C35" s="11" t="n">
        <v>60</v>
      </c>
      <c r="D35" s="11" t="n">
        <v>52</v>
      </c>
      <c r="E35" s="11" t="n">
        <v>24</v>
      </c>
    </row>
    <row r="36" ht="30" customHeight="1">
      <c r="A36" s="2" t="inlineStr">
        <is>
          <t>Mesma tabela regular do P14 (± 1–2 cm). ⚠️ Esta página diz que o modelo tem 1,79 m / 82 kg; o P14 diz 1,84 m / 84 kg — é a mesma pessoa, na mesma sessão de fotos.</t>
        </is>
      </c>
    </row>
    <row r="37">
      <c r="A37" s="15" t="inlineStr">
        <is>
          <t>Modelo das fotos: 1,84 m · 84 kg · veste M</t>
        </is>
      </c>
    </row>
    <row r="39">
      <c r="A39" s="27" t="inlineStr">
        <is>
          <t>4. Cores disponíveis</t>
        </is>
      </c>
      <c r="B39" s="28" t="n"/>
      <c r="C39" s="28" t="n"/>
      <c r="D39" s="28" t="n"/>
      <c r="E39" s="28" t="n"/>
      <c r="F39" s="28" t="n"/>
    </row>
    <row r="40">
      <c r="A40" s="9" t="inlineStr">
        <is>
          <t>Cor</t>
        </is>
      </c>
      <c r="B40" s="9" t="inlineStr">
        <is>
          <t>Código HMZT</t>
        </is>
      </c>
      <c r="C40" s="9" t="inlineStr">
        <is>
          <t>Ref. fornecedor</t>
        </is>
      </c>
      <c r="D40" s="9" t="inlineStr">
        <is>
          <t>Observação</t>
        </is>
      </c>
    </row>
    <row r="41">
      <c r="A41" s="10" t="inlineStr">
        <is>
          <t>Verde Floresta</t>
        </is>
      </c>
      <c r="B41" s="10" t="inlineStr">
        <is>
          <t>VFL</t>
        </is>
      </c>
      <c r="C41" s="10" t="inlineStr">
        <is>
          <t>n/i</t>
        </is>
      </c>
      <c r="D41" s="10" t="inlineStr">
        <is>
          <t>Verde garrafa lavado (fotos #1–4)</t>
        </is>
      </c>
    </row>
    <row r="42">
      <c r="A42" s="10" t="inlineStr">
        <is>
          <t>Índigo</t>
        </is>
      </c>
      <c r="B42" s="10" t="inlineStr">
        <is>
          <t>IND</t>
        </is>
      </c>
      <c r="C42" s="10" t="inlineStr">
        <is>
          <t>n/i</t>
        </is>
      </c>
      <c r="D42" s="10" t="inlineStr">
        <is>
          <t>Sem foto clara — talvez o tom ameixa das fotos #11–13 ⚠️</t>
        </is>
      </c>
    </row>
    <row r="43">
      <c r="A43" s="10" t="inlineStr">
        <is>
          <t>Cinza</t>
        </is>
      </c>
      <c r="B43" s="10" t="inlineStr">
        <is>
          <t>CIN</t>
        </is>
      </c>
      <c r="C43" s="10" t="inlineStr">
        <is>
          <t>n/i</t>
        </is>
      </c>
      <c r="D43" s="10" t="inlineStr">
        <is>
          <t>Cinza médio lavado (fotos #5–7)</t>
        </is>
      </c>
    </row>
    <row r="44">
      <c r="A44" s="10" t="inlineStr">
        <is>
          <t>Laranja Claro</t>
        </is>
      </c>
      <c r="B44" s="10" t="inlineStr">
        <is>
          <t>LRC</t>
        </is>
      </c>
      <c r="C44" s="10" t="inlineStr">
        <is>
          <t>n/i</t>
        </is>
      </c>
      <c r="D44" s="10" t="inlineStr">
        <is>
          <t>Pêssego (fotos #8–10) — parece o "Damasco" do P14</t>
        </is>
      </c>
    </row>
    <row r="45">
      <c r="A45" s="10" t="inlineStr">
        <is>
          <t>Azul Celeste</t>
        </is>
      </c>
      <c r="B45" s="10" t="inlineStr">
        <is>
          <t>ACE</t>
        </is>
      </c>
      <c r="C45" s="10" t="inlineStr">
        <is>
          <t>n/i</t>
        </is>
      </c>
      <c r="D45" s="10" t="inlineStr">
        <is>
          <t>Azul claro lavado (fotos #14–15)</t>
        </is>
      </c>
    </row>
    <row r="46">
      <c r="A46" s="10" t="inlineStr">
        <is>
          <t>Bordô</t>
        </is>
      </c>
      <c r="B46" s="10" t="inlineStr">
        <is>
          <t>BDO</t>
        </is>
      </c>
      <c r="C46" s="10" t="inlineStr">
        <is>
          <t>n/i</t>
        </is>
      </c>
      <c r="D46" s="10" t="inlineStr">
        <is>
          <t>Provável tom ameixa/berinjela desbotado das fotos #11–13 ⚠️</t>
        </is>
      </c>
    </row>
    <row r="47" ht="30" customHeight="1">
      <c r="A47" s="8" t="inlineStr">
        <is>
          <t>⚠️ Seletor (Verde Floresta, Índigo, Cinza, Laranja Claro, Azul Celeste, Bordô) ≠ ficha técnica do próprio texto (Preto, Marinho, Damasco, Laranja, Bege, Cinza Claro — cópia do P14). Sem referência EST-xxx para estas cores. As fotos mostram 5 tons; um deles (ameixa) pode ser Bordô ou Índigo.</t>
        </is>
      </c>
    </row>
    <row r="49">
      <c r="A49" s="27" t="inlineStr">
        <is>
          <t>5. Personalização (preço sempre sob orçamento)</t>
        </is>
      </c>
      <c r="B49" s="28" t="n"/>
      <c r="C49" s="28" t="n"/>
      <c r="D49" s="28" t="n"/>
      <c r="E49" s="28" t="n"/>
      <c r="F49" s="28" t="n"/>
    </row>
    <row r="50">
      <c r="A50" s="9" t="inlineStr">
        <is>
          <t>Técnica</t>
        </is>
      </c>
      <c r="B50" s="9" t="inlineStr">
        <is>
          <t>Detalhe</t>
        </is>
      </c>
      <c r="C50" s="9" t="inlineStr">
        <is>
          <t>Mínimo</t>
        </is>
      </c>
    </row>
    <row r="51">
      <c r="A51" s="10" t="inlineStr">
        <is>
          <t>Silk</t>
        </is>
      </c>
      <c r="B51" s="10" t="inlineStr">
        <is>
          <t>Frente/costas — tipo de tinta não detalhado nesta página</t>
        </is>
      </c>
      <c r="C51" s="10" t="inlineStr">
        <is>
          <t>20 pç</t>
        </is>
      </c>
    </row>
    <row r="52">
      <c r="A52" s="10" t="inlineStr">
        <is>
          <t>DTF</t>
        </is>
      </c>
      <c r="B52" s="10" t="inlineStr">
        <is>
          <t>Full color</t>
        </is>
      </c>
      <c r="C52" s="10" t="inlineStr">
        <is>
          <t>20 pç</t>
        </is>
      </c>
    </row>
    <row r="53">
      <c r="A53" s="10" t="inlineStr">
        <is>
          <t>Bordado</t>
        </is>
      </c>
      <c r="B53" s="10" t="inlineStr">
        <is>
          <t>Peito, mangas</t>
        </is>
      </c>
      <c r="C53" s="10" t="inlineStr">
        <is>
          <t>20 pç</t>
        </is>
      </c>
    </row>
    <row r="54">
      <c r="A54" s="10" t="inlineStr">
        <is>
          <t>Etiqueta private label</t>
        </is>
      </c>
      <c r="B54" s="10" t="inlineStr">
        <is>
          <t>Interna + tag</t>
        </is>
      </c>
      <c r="C54" s="10" t="inlineStr">
        <is>
          <t>20 pç</t>
        </is>
      </c>
    </row>
    <row r="56">
      <c r="A56" s="27" t="inlineStr">
        <is>
          <t>6. Preços do fornecedor (desconto progressivo)</t>
        </is>
      </c>
      <c r="B56" s="28" t="n"/>
      <c r="C56" s="28" t="n"/>
      <c r="D56" s="28" t="n"/>
      <c r="E56" s="28" t="n"/>
      <c r="F56" s="28" t="n"/>
    </row>
    <row r="57">
      <c r="A57" s="24" t="inlineStr">
        <is>
          <t>Preço base (R$)</t>
        </is>
      </c>
      <c r="B57" s="31" t="n">
        <v>37.26</v>
      </c>
    </row>
    <row r="58">
      <c r="A58" s="17" t="inlineStr">
        <is>
          <t>Faixa</t>
        </is>
      </c>
      <c r="B58" s="17" t="inlineStr">
        <is>
          <t>Peças</t>
        </is>
      </c>
      <c r="C58" s="17" t="inlineStr">
        <is>
          <t>Desconto</t>
        </is>
      </c>
      <c r="D58" s="17" t="inlineStr">
        <is>
          <t>Preço unitário</t>
        </is>
      </c>
      <c r="E58" s="17" t="inlineStr">
        <is>
          <t>Preço + Pix</t>
        </is>
      </c>
    </row>
    <row r="59">
      <c r="A59" s="18" t="inlineStr">
        <is>
          <t>Faixa 1</t>
        </is>
      </c>
      <c r="B59" s="18" t="inlineStr">
        <is>
          <t>20–40</t>
        </is>
      </c>
      <c r="C59" s="32">
        <f>'Regras Fornecedor'!$D$4</f>
        <v/>
      </c>
      <c r="D59" s="33">
        <f>ROUND($B$57*(1-C59),2)</f>
        <v/>
      </c>
      <c r="E59" s="34">
        <f>ROUND(D59*(1-'Regras Fornecedor'!$B$10),2)</f>
        <v/>
      </c>
    </row>
    <row r="60">
      <c r="A60" s="18" t="inlineStr">
        <is>
          <t>Faixa 2</t>
        </is>
      </c>
      <c r="B60" s="18" t="inlineStr">
        <is>
          <t>40–80</t>
        </is>
      </c>
      <c r="C60" s="32">
        <f>'Regras Fornecedor'!$D$5</f>
        <v/>
      </c>
      <c r="D60" s="33">
        <f>ROUND($B$57*(1-C60),2)</f>
        <v/>
      </c>
      <c r="E60" s="34">
        <f>ROUND(D60*(1-'Regras Fornecedor'!$B$10),2)</f>
        <v/>
      </c>
    </row>
    <row r="61">
      <c r="A61" s="18" t="inlineStr">
        <is>
          <t>Faixa 3</t>
        </is>
      </c>
      <c r="B61" s="18" t="inlineStr">
        <is>
          <t>80–100</t>
        </is>
      </c>
      <c r="C61" s="32">
        <f>'Regras Fornecedor'!$D$6</f>
        <v/>
      </c>
      <c r="D61" s="33">
        <f>ROUND($B$57*(1-C61),2)</f>
        <v/>
      </c>
      <c r="E61" s="34">
        <f>ROUND(D61*(1-'Regras Fornecedor'!$B$10),2)</f>
        <v/>
      </c>
    </row>
    <row r="62">
      <c r="A62" s="18" t="inlineStr">
        <is>
          <t>Faixa 4</t>
        </is>
      </c>
      <c r="B62" s="18" t="inlineStr">
        <is>
          <t>100–300</t>
        </is>
      </c>
      <c r="C62" s="32">
        <f>'Regras Fornecedor'!$D$7</f>
        <v/>
      </c>
      <c r="D62" s="33">
        <f>ROUND($B$57*(1-C62),2)</f>
        <v/>
      </c>
      <c r="E62" s="34">
        <f>ROUND(D62*(1-'Regras Fornecedor'!$B$10),2)</f>
        <v/>
      </c>
    </row>
    <row r="63">
      <c r="A63" s="18" t="inlineStr">
        <is>
          <t>Faixa 5</t>
        </is>
      </c>
      <c r="B63" s="18" t="inlineStr">
        <is>
          <t>300–999</t>
        </is>
      </c>
      <c r="C63" s="32">
        <f>'Regras Fornecedor'!$D$8</f>
        <v/>
      </c>
      <c r="D63" s="33">
        <f>ROUND($B$57*(1-C63),2)</f>
        <v/>
      </c>
      <c r="E63" s="34">
        <f>ROUND(D63*(1-'Regras Fornecedor'!$B$10),2)</f>
        <v/>
      </c>
    </row>
    <row r="65">
      <c r="A65" s="27" t="inlineStr">
        <is>
          <t>7. Custo HMZT e margem (lote de 20 peças, Pix)</t>
        </is>
      </c>
      <c r="B65" s="28" t="n"/>
      <c r="C65" s="28" t="n"/>
      <c r="D65" s="28" t="n"/>
      <c r="E65" s="28" t="n"/>
      <c r="F65" s="28" t="n"/>
    </row>
    <row r="66">
      <c r="A66" s="24" t="inlineStr">
        <is>
          <t>Peça (20 pç, Pix)</t>
        </is>
      </c>
      <c r="B66" s="35">
        <f>E59</f>
        <v/>
      </c>
    </row>
    <row r="67">
      <c r="A67" s="24" t="inlineStr">
        <is>
          <t>Personalização + etiqueta + tag (R$/pç)</t>
        </is>
      </c>
      <c r="B67" s="36" t="n">
        <v>9</v>
      </c>
      <c r="C67" s="15" t="inlineStr">
        <is>
          <t>Estimativa HMZT — trocar pelo orçamento real</t>
        </is>
      </c>
    </row>
    <row r="68">
      <c r="A68" s="24" t="inlineStr">
        <is>
          <t>Frete rateado + embalagem (R$/pç)</t>
        </is>
      </c>
      <c r="B68" s="36" t="n">
        <v>4</v>
      </c>
      <c r="C68" s="15" t="inlineStr">
        <is>
          <t>Estimativa HMZT — trocar pelo orçamento real</t>
        </is>
      </c>
    </row>
    <row r="69">
      <c r="A69" s="24" t="inlineStr">
        <is>
          <t>Custo unitário estimado</t>
        </is>
      </c>
      <c r="B69" s="37">
        <f>SUM(B66:B68)</f>
        <v/>
      </c>
    </row>
    <row r="70">
      <c r="A70" s="24" t="inlineStr">
        <is>
          <t>Preço de venda HMZT (R$)</t>
        </is>
      </c>
      <c r="B70" s="36" t="n">
        <v>119</v>
      </c>
      <c r="C70" s="15" t="inlineStr">
        <is>
          <t>Sugestão do dossiê — ajustar</t>
        </is>
      </c>
    </row>
    <row r="71">
      <c r="A71" s="24" t="inlineStr">
        <is>
          <t>Impostos + gateway (% do preço)</t>
        </is>
      </c>
      <c r="B71" s="38" t="n">
        <v>0</v>
      </c>
      <c r="C71" s="15" t="inlineStr">
        <is>
          <t>A preencher (Simples + taxa Asaas)</t>
        </is>
      </c>
    </row>
    <row r="72">
      <c r="A72" s="24" t="inlineStr">
        <is>
          <t>Margem bruta (R$)</t>
        </is>
      </c>
      <c r="B72" s="35">
        <f>B70-B69</f>
        <v/>
      </c>
    </row>
    <row r="73">
      <c r="A73" s="24" t="inlineStr">
        <is>
          <t>Margem bruta (%)</t>
        </is>
      </c>
      <c r="B73" s="39">
        <f>IF(B70=0,0,(B70-B69)/B70)</f>
        <v/>
      </c>
    </row>
    <row r="74">
      <c r="A74" s="24" t="inlineStr">
        <is>
          <t>Margem após impostos/gateway (%)</t>
        </is>
      </c>
      <c r="B74" s="39">
        <f>IF(B70=0,0,(B70*(1-B71)-B69)/B70)</f>
        <v/>
      </c>
      <c r="C74" s="15" t="inlineStr">
        <is>
          <t>Ainda sem frete ao cliente e mídia</t>
        </is>
      </c>
    </row>
    <row r="76">
      <c r="A76" s="27" t="inlineStr">
        <is>
          <t>8. Contradições e erros ⚠️</t>
        </is>
      </c>
      <c r="B76" s="28" t="n"/>
      <c r="C76" s="28" t="n"/>
      <c r="D76" s="28" t="n"/>
      <c r="E76" s="28" t="n"/>
      <c r="F76" s="28" t="n"/>
    </row>
    <row r="77">
      <c r="A77" s="8" t="inlineStr">
        <is>
          <t>⚠️ P13 × P14 são quase duplicados. Mesma composição, gramatura, preço (R$ 37,26), tabela de desconto, tabela de medidas e sessão de fotos. Muda só o EAN (7897564701282 × 7892948548590), o título ("Vintage") e a cartela. O "-oc" do endereço provavelmente é "outras cores" (hipótese).</t>
        </is>
      </c>
    </row>
    <row r="78">
      <c r="A78" s="8" t="inlineStr">
        <is>
          <t>⚠️ Cores: o seletor mostra Verde Floresta, Índigo, Cinza, Laranja Claro, Azul Celeste e Bordô. A ficha técnica do próprio texto lista Preto, Marinho, Damasco, Laranja, Bege e Cinza Claro — cópia do P14.</t>
        </is>
      </c>
    </row>
    <row r="79">
      <c r="A79" s="8" t="inlineStr">
        <is>
          <t>⚠️ Modelo: esta página diz 1,79 m / 82 kg; o P14 diz 1,84 m / 84 kg. É a mesma pessoa nas fotos.</t>
        </is>
      </c>
    </row>
    <row r="80">
      <c r="A80" s="8" t="inlineStr">
        <is>
          <t>⚠️ Cores × fotos: as fotos mostram 5 tons. Um tom ameixa/berinjela pode ser o Bordô ou o Índigo — não dá para saber.</t>
        </is>
      </c>
    </row>
    <row r="81">
      <c r="A81" s="8" t="inlineStr">
        <is>
          <t>⚠️ Laranja Claro (P13) × Damasco (P14): nas fotos parecem a mesma cor, com nomes diferentes.</t>
        </is>
      </c>
    </row>
    <row r="82">
      <c r="A82" s="8" t="inlineStr">
        <is>
          <t>⚠️ Amaciamento: aqui diz "amaciamento industrial"; no P14, "amaciamento mecânico pelas pedras" e "nenhum amaciamento químico reproduz".</t>
        </is>
      </c>
    </row>
    <row r="83">
      <c r="A83" s="8" t="inlineStr">
        <is>
          <t>⚠️ Desbotamento: aqui, "sem desbotamento excessivo" (admite algum); no P14, "não progride nas lavagens".</t>
        </is>
      </c>
    </row>
    <row r="84">
      <c r="A84" s="8" t="inlineStr">
        <is>
          <t>⚠️ Gramatura: texto 175 g/m²; banners da família (P15–P17) dizem "malha beneficiada 180GSM". Pode ser antes × depois da lavagem.</t>
        </is>
      </c>
    </row>
    <row r="85">
      <c r="A85" s="8" t="inlineStr">
        <is>
          <t>⚠️ Widget "Produtos relacionados": mostra "Esse acabou" até para produtos com "Disponibilidade imediata" na própria página. Não serve para checar estoque.</t>
        </is>
      </c>
    </row>
    <row r="87">
      <c r="A87" s="27" t="inlineStr">
        <is>
          <t>9. Comunicação HMZT</t>
        </is>
      </c>
      <c r="B87" s="28" t="n"/>
      <c r="C87" s="28" t="n"/>
      <c r="D87" s="28" t="n"/>
      <c r="E87" s="28" t="n"/>
      <c r="F87" s="28" t="n"/>
    </row>
    <row r="88">
      <c r="A88" s="24" t="inlineStr">
        <is>
          <t>✅ Pode usar</t>
        </is>
      </c>
      <c r="D88" s="24" t="inlineStr">
        <is>
          <t>📣 / ⛔ Não usar</t>
        </is>
      </c>
    </row>
    <row r="89">
      <c r="A89" s="40" t="inlineStr">
        <is>
          <t>"100% algodão penteado, fio 30/1"</t>
        </is>
      </c>
      <c r="D89" s="8" t="inlineStr">
        <is>
          <t>"Ticket médio 25–40% acima do básico liso" / "+35% vs liso"</t>
        </is>
      </c>
    </row>
    <row r="90">
      <c r="A90" s="40" t="inlineStr">
        <is>
          <t>"Lavada com pedras depois de costurada: cada peça tem tom e desgaste levemente diferentes" (é o processo físico — dizer como característica, não como "defeito" nem "exclusividade")</t>
        </is>
      </c>
      <c r="D90" s="8" t="inlineStr">
        <is>
          <t>"Exclusividade real que justifica preço premium" / "a peça se diferencia sozinha"</t>
        </is>
      </c>
    </row>
    <row r="91">
      <c r="A91" s="40" t="inlineStr">
        <is>
          <t>"Gola canelada 2/1, costura ponto cadeia, reforço ombro a ombro, barra dupla"</t>
        </is>
      </c>
      <c r="D91" s="8" t="inlineStr">
        <is>
          <t>"Consistência que estonagens terceirizadas não alcançam"</t>
        </is>
      </c>
    </row>
    <row r="92">
      <c r="A92" s="40" t="inlineStr">
        <is>
          <t>"Pré-encolhida e com tratamento anti-torção"</t>
        </is>
      </c>
      <c r="D92" s="8" t="inlineStr">
        <is>
          <t>"Toque de camiseta lavada 50 vezes" / "nenhum amaciamento químico reproduz"</t>
        </is>
      </c>
    </row>
    <row r="93">
      <c r="A93" s="40" t="inlineStr">
        <is>
          <t>"Fabricada em Santa Catarina"</t>
        </is>
      </c>
      <c r="D93" s="8" t="inlineStr">
        <is>
          <t>"Não desbota" / "visual vintage permanente" (banner diz "Não desbota" numa peça que é desbotada de propósito)</t>
        </is>
      </c>
    </row>
    <row r="94">
      <c r="D94" s="8" t="inlineStr">
        <is>
          <t>"Sustenta recompra", "converte", "avaliação positiva desde a primeira vestida"</t>
        </is>
      </c>
    </row>
    <row r="95">
      <c r="D95" s="8" t="inlineStr">
        <is>
          <t>Selos genéricos da galeria ("100% Original")</t>
        </is>
      </c>
    </row>
    <row r="97">
      <c r="A97" s="27" t="inlineStr">
        <is>
          <t>10. Pendências com o fornecedor</t>
        </is>
      </c>
      <c r="B97" s="28" t="n"/>
      <c r="C97" s="28" t="n"/>
      <c r="D97" s="28" t="n"/>
      <c r="E97" s="28" t="n"/>
      <c r="F97" s="28" t="n"/>
    </row>
    <row r="98">
      <c r="A98" s="9" t="inlineStr">
        <is>
          <t>Pendência</t>
        </is>
      </c>
      <c r="B98" s="9" t="inlineStr">
        <is>
          <t>Status</t>
        </is>
      </c>
      <c r="C98" s="9" t="inlineStr">
        <is>
          <t>Responsável</t>
        </is>
      </c>
      <c r="D98" s="9" t="inlineStr">
        <is>
          <t>Resposta</t>
        </is>
      </c>
    </row>
    <row r="99">
      <c r="A99" s="10" t="inlineStr">
        <is>
          <t>Confirmar se P13 = P14 (mesma malha/lote) e cartela real do P13</t>
        </is>
      </c>
      <c r="B99" s="11" t="inlineStr">
        <is>
          <t>Aberta</t>
        </is>
      </c>
      <c r="C99" s="11" t="inlineStr"/>
      <c r="D99" s="11" t="inlineStr"/>
    </row>
    <row r="100">
      <c r="A100" s="10" t="inlineStr">
        <is>
          <t>Identificar a cor ameixa das fotos #11–13</t>
        </is>
      </c>
      <c r="B100" s="11" t="inlineStr">
        <is>
          <t>Aberta</t>
        </is>
      </c>
      <c r="C100" s="11" t="inlineStr"/>
      <c r="D100" s="11" t="inlineStr"/>
    </row>
    <row r="101">
      <c r="A101" s="10" t="inlineStr">
        <is>
          <t>Confirmar gramatura (175 g/m² × 180 GSM dos banners)</t>
        </is>
      </c>
      <c r="B101" s="11" t="inlineStr">
        <is>
          <t>Aberta</t>
        </is>
      </c>
      <c r="C101" s="11" t="inlineStr"/>
      <c r="D101" s="11" t="inlineStr"/>
    </row>
    <row r="102">
      <c r="A102" s="10" t="inlineStr">
        <is>
          <t>Orçamento de personalização (bordado pequeno, DTF, etiqueta, tag) e frete Itajaí → SP</t>
        </is>
      </c>
      <c r="B102" s="11" t="inlineStr">
        <is>
          <t>Aberta</t>
        </is>
      </c>
      <c r="C102" s="11" t="inlineStr"/>
      <c r="D102" s="11" t="inlineStr"/>
    </row>
    <row r="103">
      <c r="A103" s="10" t="inlineStr">
        <is>
          <t>Origem do algodão (não citada nesta página)</t>
        </is>
      </c>
      <c r="B103" s="11" t="inlineStr">
        <is>
          <t>Aberta</t>
        </is>
      </c>
      <c r="C103" s="11" t="inlineStr"/>
      <c r="D103" s="11" t="inlineStr"/>
    </row>
    <row r="104">
      <c r="A104" s="10" t="inlineStr">
        <is>
          <t>Tolerância de variação de tom entre lotes</t>
        </is>
      </c>
      <c r="B104" s="11" t="inlineStr">
        <is>
          <t>Aberta</t>
        </is>
      </c>
      <c r="C104" s="11" t="inlineStr"/>
      <c r="D104" s="11" t="inlineStr"/>
    </row>
    <row r="106">
      <c r="A106" s="27" t="inlineStr">
        <is>
          <t>11. Fluxo de prompts de lookbook (docs/shop-confeccao/prompts/P13-prompts.md)</t>
        </is>
      </c>
      <c r="B106" s="28" t="n"/>
      <c r="C106" s="28" t="n"/>
      <c r="D106" s="28" t="n"/>
      <c r="E106" s="28" t="n"/>
      <c r="F106" s="28" t="n"/>
    </row>
    <row r="107">
      <c r="A107" s="9" t="inlineStr">
        <is>
          <t>Foto</t>
        </is>
      </c>
      <c r="B107" s="9" t="inlineStr">
        <is>
          <t>Origem no print</t>
        </is>
      </c>
      <c r="C107" s="9" t="inlineStr">
        <is>
          <t>Formato</t>
        </is>
      </c>
      <c r="D107" s="9" t="inlineStr">
        <is>
          <t>Status</t>
        </is>
      </c>
    </row>
    <row r="108">
      <c r="A108" s="10" t="inlineStr">
        <is>
          <t>F1 — Hero olhar lateral</t>
        </is>
      </c>
      <c r="B108" s="10" t="inlineStr">
        <is>
          <t>Origem: fotos #1 (verde) e #14 (azul celeste) — quase frontal, olhar para o lado</t>
        </is>
      </c>
      <c r="C108" s="10" t="inlineStr">
        <is>
          <t>4:5</t>
        </is>
      </c>
      <c r="D108" s="11" t="inlineStr">
        <is>
          <t>A gerar</t>
        </is>
      </c>
    </row>
    <row r="109">
      <c r="A109" s="10" t="inlineStr">
        <is>
          <t>F2 — Ajustando a manga</t>
        </is>
      </c>
      <c r="B109" s="10" t="inlineStr">
        <is>
          <t>Origem: fotos #2 (verde) e #15 (azul celeste) — 3/4 ajeitando a manga</t>
        </is>
      </c>
      <c r="C109" s="10" t="inlineStr">
        <is>
          <t>4:5</t>
        </is>
      </c>
      <c r="D109" s="11" t="inlineStr">
        <is>
          <t>A gerar</t>
        </is>
      </c>
    </row>
    <row r="110">
      <c r="A110" s="10" t="inlineStr">
        <is>
          <t>F3 — Detalhe mão na manga</t>
        </is>
      </c>
      <c r="B110" s="10" t="inlineStr">
        <is>
          <t>Origem: foto #3 (verde) — detalhe gola, ombro e manga</t>
        </is>
      </c>
      <c r="C110" s="10" t="inlineStr">
        <is>
          <t>4:5</t>
        </is>
      </c>
      <c r="D110" s="11" t="inlineStr">
        <is>
          <t>A gerar</t>
        </is>
      </c>
    </row>
    <row r="111">
      <c r="A111" s="10" t="inlineStr">
        <is>
          <t>F4 — Costas com rosto de perfil</t>
        </is>
      </c>
      <c r="B111" s="10" t="inlineStr">
        <is>
          <t>Origem: fotos #4 (verde) e #10 (laranja claro)</t>
        </is>
      </c>
      <c r="C111" s="10" t="inlineStr">
        <is>
          <t>4:5</t>
        </is>
      </c>
      <c r="D111" s="11" t="inlineStr">
        <is>
          <t>A gerar</t>
        </is>
      </c>
    </row>
    <row r="112">
      <c r="A112" s="10" t="inlineStr">
        <is>
          <t>F5 — Frontal olhando a câmera</t>
        </is>
      </c>
      <c r="B112" s="10" t="inlineStr">
        <is>
          <t>Origem: foto #5 (cinza)</t>
        </is>
      </c>
      <c r="C112" s="10" t="inlineStr">
        <is>
          <t>4:5</t>
        </is>
      </c>
      <c r="D112" s="11" t="inlineStr">
        <is>
          <t>A gerar</t>
        </is>
      </c>
    </row>
    <row r="113">
      <c r="A113" s="10" t="inlineStr">
        <is>
          <t>F6 — Costas retas</t>
        </is>
      </c>
      <c r="B113" s="10" t="inlineStr">
        <is>
          <t>Origem: fotos #6 (cinza) e #12 (ameixa)</t>
        </is>
      </c>
      <c r="C113" s="10" t="inlineStr">
        <is>
          <t>4:5</t>
        </is>
      </c>
      <c r="D113" s="11" t="inlineStr">
        <is>
          <t>A gerar</t>
        </is>
      </c>
    </row>
    <row r="114">
      <c r="A114" s="10" t="inlineStr">
        <is>
          <t>F7 — Detalhe gola e ombro</t>
        </is>
      </c>
      <c r="B114" s="10" t="inlineStr">
        <is>
          <t>Origem: fotos #7 (cinza), #9 (laranja claro) e #13 (ameixa)</t>
        </is>
      </c>
      <c r="C114" s="10" t="inlineStr">
        <is>
          <t>4:5</t>
        </is>
      </c>
      <c r="D114" s="11" t="inlineStr">
        <is>
          <t>A gerar</t>
        </is>
      </c>
    </row>
    <row r="115">
      <c r="A115" s="10" t="inlineStr">
        <is>
          <t>F8 — 3/4 mão na barra</t>
        </is>
      </c>
      <c r="B115" s="10" t="inlineStr">
        <is>
          <t>Origem: foto #8 (laranja claro)</t>
        </is>
      </c>
      <c r="C115" s="10" t="inlineStr">
        <is>
          <t>4:5</t>
        </is>
      </c>
      <c r="D115" s="11" t="inlineStr">
        <is>
          <t>A gerar</t>
        </is>
      </c>
    </row>
    <row r="116">
      <c r="A116" s="10" t="inlineStr">
        <is>
          <t>F9 — Frontal olhar lateral, mãos na barra</t>
        </is>
      </c>
      <c r="B116" s="10" t="inlineStr">
        <is>
          <t>Origem: foto #11 (ameixa/bordô)</t>
        </is>
      </c>
      <c r="C116" s="10" t="inlineStr">
        <is>
          <t>4:5</t>
        </is>
      </c>
      <c r="D116" s="11" t="inlineStr">
        <is>
          <t>A gerar</t>
        </is>
      </c>
    </row>
  </sheetData>
  <mergeCells count="44">
    <mergeCell ref="B4:F4"/>
    <mergeCell ref="A90:C90"/>
    <mergeCell ref="B7:F7"/>
    <mergeCell ref="A84:F84"/>
    <mergeCell ref="A80:F80"/>
    <mergeCell ref="A89:C89"/>
    <mergeCell ref="B15:E15"/>
    <mergeCell ref="B24:E24"/>
    <mergeCell ref="B20:E20"/>
    <mergeCell ref="D91:F91"/>
    <mergeCell ref="B26:E26"/>
    <mergeCell ref="A47:F47"/>
    <mergeCell ref="A85:F85"/>
    <mergeCell ref="B11:F11"/>
    <mergeCell ref="D93:F93"/>
    <mergeCell ref="B16:E16"/>
    <mergeCell ref="B25:E25"/>
    <mergeCell ref="A91:C91"/>
    <mergeCell ref="B8:F8"/>
    <mergeCell ref="D92:F92"/>
    <mergeCell ref="B22:E22"/>
    <mergeCell ref="A81:F81"/>
    <mergeCell ref="B18:E18"/>
    <mergeCell ref="B27:E27"/>
    <mergeCell ref="D89:F89"/>
    <mergeCell ref="A93:C93"/>
    <mergeCell ref="B10:F10"/>
    <mergeCell ref="D94:F94"/>
    <mergeCell ref="B21:E21"/>
    <mergeCell ref="A83:F83"/>
    <mergeCell ref="A92:C92"/>
    <mergeCell ref="A77:F77"/>
    <mergeCell ref="B9:F9"/>
    <mergeCell ref="B17:E17"/>
    <mergeCell ref="B23:E23"/>
    <mergeCell ref="A82:F82"/>
    <mergeCell ref="D90:F90"/>
    <mergeCell ref="B6:F6"/>
    <mergeCell ref="A36:F36"/>
    <mergeCell ref="B5:F5"/>
    <mergeCell ref="A79:F79"/>
    <mergeCell ref="B19:E19"/>
    <mergeCell ref="A78:F78"/>
    <mergeCell ref="D95:F9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0"/>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P14 — Camiseta Estonada Regular 175g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HMZT-P14-REG-EST175</t>
        </is>
      </c>
    </row>
    <row r="5">
      <c r="A5" s="24" t="inlineStr">
        <is>
          <t>Fornecedor</t>
        </is>
      </c>
      <c r="B5" s="2" t="inlineStr">
        <is>
          <t>Lunfe Malhas — fabricação própria, Itajaí-SC</t>
        </is>
      </c>
    </row>
    <row r="6">
      <c r="A6" s="24" t="inlineStr">
        <is>
          <t>Referência</t>
        </is>
      </c>
      <c r="B6" s="2" t="inlineStr">
        <is>
          <t>7892948548590</t>
        </is>
      </c>
    </row>
    <row r="7">
      <c r="A7" s="24" t="inlineStr">
        <is>
          <t>URL</t>
        </is>
      </c>
      <c r="B7" s="2" t="inlineStr">
        <is>
          <t>lunfemalhas.com.br/camiseta-estonada-atacado-algodao-penteado-30-1-lunfe</t>
        </is>
      </c>
    </row>
    <row r="8">
      <c r="A8" s="24" t="inlineStr">
        <is>
          <t>Categoria no site</t>
        </is>
      </c>
      <c r="B8" s="2" t="inlineStr">
        <is>
          <t>Camisetas › Masculino › Regular Fit</t>
        </is>
      </c>
    </row>
    <row r="9">
      <c r="A9" s="24" t="inlineStr">
        <is>
          <t>Linha HMZT recomendada</t>
        </is>
      </c>
      <c r="B9" s="2" t="inlineStr">
        <is>
          <t>Lavada/Vintage (nova) — base regular</t>
        </is>
      </c>
    </row>
    <row r="10">
      <c r="A10" s="24" t="inlineStr">
        <is>
          <t>Estoque</t>
        </is>
      </c>
      <c r="B10" s="2" t="inlineStr">
        <is>
          <t>Disponibilidade imediata na página (6 cores); o widget de relacionados das outras páginas mostra "Esse acabou" — widget não confiável</t>
        </is>
      </c>
    </row>
    <row r="11">
      <c r="A11" s="24" t="inlineStr">
        <is>
          <t>Descritor canônico (IA)</t>
        </is>
      </c>
      <c r="B11" s="2" t="inlineStr">
        <is>
          <t>Camiseta masculina regular fit, manga curta, algodão penteado 175 g estonado (stone wash): cor lavada irregular em nuvens, mais clara nas costuras, na borda da gola canelada 2/1, nas barras e nos ombros; superfície fosca e macia. Barra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penteado</t>
        </is>
      </c>
      <c r="C15" s="29" t="n"/>
      <c r="D15" s="29" t="n"/>
      <c r="E15" s="30" t="n"/>
    </row>
    <row r="16">
      <c r="A16" s="10" t="inlineStr">
        <is>
          <t>Fio</t>
        </is>
      </c>
      <c r="B16" s="10" t="inlineStr">
        <is>
          <t>30/1 penteado</t>
        </is>
      </c>
      <c r="C16" s="29" t="n"/>
      <c r="D16" s="29" t="n"/>
      <c r="E16" s="30" t="n"/>
    </row>
    <row r="17">
      <c r="A17" s="10" t="inlineStr">
        <is>
          <t>Gramatura</t>
        </is>
      </c>
      <c r="B17" s="10" t="inlineStr">
        <is>
          <t>175 g/m² (texto) × 180 GSM (banner da galeria)</t>
        </is>
      </c>
      <c r="C17" s="29" t="n"/>
      <c r="D17" s="29" t="n"/>
      <c r="E17" s="30" t="n"/>
    </row>
    <row r="18">
      <c r="A18" s="10" t="inlineStr">
        <is>
          <t>Modelagem</t>
        </is>
      </c>
      <c r="B18" s="10" t="inlineStr">
        <is>
          <t>Regular (tabela padrão Lunfe)</t>
        </is>
      </c>
      <c r="C18" s="29" t="n"/>
      <c r="D18" s="29" t="n"/>
      <c r="E18" s="30" t="n"/>
    </row>
    <row r="19">
      <c r="A19" s="10" t="inlineStr">
        <is>
          <t>Acabamento</t>
        </is>
      </c>
      <c r="B19" s="10" t="inlineStr">
        <is>
          <t>Stone wash (lavagem com pedras-pomes) após a confecção + fixação pós-estonagem</t>
        </is>
      </c>
      <c r="C19" s="29" t="n"/>
      <c r="D19" s="29" t="n"/>
      <c r="E19" s="30" t="n"/>
    </row>
    <row r="20">
      <c r="A20" s="10" t="inlineStr">
        <is>
          <t>Gola</t>
        </is>
      </c>
      <c r="B20" s="10" t="inlineStr">
        <is>
          <t>Canelada 2/1, fecho em anel, reforço ombro a ombro</t>
        </is>
      </c>
      <c r="C20" s="29" t="n"/>
      <c r="D20" s="29" t="n"/>
      <c r="E20" s="30" t="n"/>
    </row>
    <row r="21">
      <c r="A21" s="10" t="inlineStr">
        <is>
          <t>Costuras</t>
        </is>
      </c>
      <c r="B21" s="10" t="inlineStr">
        <is>
          <t>Ponto cadeia; barra dupla em mangas e barra</t>
        </is>
      </c>
      <c r="C21" s="29" t="n"/>
      <c r="D21" s="29" t="n"/>
      <c r="E21" s="30" t="n"/>
    </row>
    <row r="22">
      <c r="A22" s="10" t="inlineStr">
        <is>
          <t>Tratamentos</t>
        </is>
      </c>
      <c r="B22" s="10" t="inlineStr">
        <is>
          <t>Pré-encolhimento, anti-torção, amaciamento</t>
        </is>
      </c>
      <c r="C22" s="29" t="n"/>
      <c r="D22" s="29" t="n"/>
      <c r="E22" s="30" t="n"/>
    </row>
    <row r="23">
      <c r="A23" s="10" t="inlineStr">
        <is>
          <t>Tamanhos</t>
        </is>
      </c>
      <c r="B23" s="10" t="inlineStr">
        <is>
          <t>P ao EG (5)</t>
        </is>
      </c>
      <c r="C23" s="29" t="n"/>
      <c r="D23" s="29" t="n"/>
      <c r="E23" s="30" t="n"/>
    </row>
    <row r="24">
      <c r="A24" s="10" t="inlineStr">
        <is>
          <t>Produção</t>
        </is>
      </c>
      <c r="B24" s="10" t="inlineStr">
        <is>
          <t>Fabricação própria Lunfe — Itajaí-SC</t>
        </is>
      </c>
      <c r="C24" s="29" t="n"/>
      <c r="D24" s="29" t="n"/>
      <c r="E24" s="30" t="n"/>
    </row>
    <row r="25">
      <c r="A25" s="10" t="inlineStr">
        <is>
          <t>Toque</t>
        </is>
      </c>
      <c r="B25" s="10" t="inlineStr">
        <is>
          <t>"Ultra macio, como camiseta lavada 50 vezes"</t>
        </is>
      </c>
      <c r="C25" s="29" t="n"/>
      <c r="D25" s="29" t="n"/>
      <c r="E25" s="30" t="n"/>
    </row>
    <row r="26">
      <c r="A26" s="10" t="inlineStr">
        <is>
          <t>Cor</t>
        </is>
      </c>
      <c r="B26" s="10" t="inlineStr">
        <is>
          <t>"Não progride nas lavagens domésticas"</t>
        </is>
      </c>
      <c r="C26" s="29" t="n"/>
      <c r="D26" s="29" t="n"/>
      <c r="E26" s="30" t="n"/>
    </row>
    <row r="28">
      <c r="A28" s="27" t="inlineStr">
        <is>
          <t>3. Tabela de medidas (cm)</t>
        </is>
      </c>
      <c r="B28" s="28" t="n"/>
      <c r="C28" s="28" t="n"/>
      <c r="D28" s="28" t="n"/>
      <c r="E28" s="28" t="n"/>
      <c r="F28" s="28" t="n"/>
    </row>
    <row r="29">
      <c r="A29" s="9" t="inlineStr">
        <is>
          <t>Tamanho</t>
        </is>
      </c>
      <c r="B29" s="9" t="inlineStr">
        <is>
          <t>Comprimento</t>
        </is>
      </c>
      <c r="C29" s="9" t="inlineStr">
        <is>
          <t>Largura</t>
        </is>
      </c>
      <c r="D29" s="9" t="inlineStr">
        <is>
          <t>Ombros</t>
        </is>
      </c>
      <c r="E29" s="9" t="inlineStr">
        <is>
          <t>Mangas</t>
        </is>
      </c>
    </row>
    <row r="30">
      <c r="A30" s="10" t="inlineStr">
        <is>
          <t>P</t>
        </is>
      </c>
      <c r="B30" s="11" t="n">
        <v>70</v>
      </c>
      <c r="C30" s="11" t="n">
        <v>52</v>
      </c>
      <c r="D30" s="11" t="n">
        <v>44</v>
      </c>
      <c r="E30" s="11" t="n">
        <v>16</v>
      </c>
    </row>
    <row r="31">
      <c r="A31" s="10" t="inlineStr">
        <is>
          <t>M</t>
        </is>
      </c>
      <c r="B31" s="11" t="n">
        <v>72</v>
      </c>
      <c r="C31" s="11" t="n">
        <v>54</v>
      </c>
      <c r="D31" s="11" t="n">
        <v>46</v>
      </c>
      <c r="E31" s="11" t="n">
        <v>18</v>
      </c>
    </row>
    <row r="32">
      <c r="A32" s="10" t="inlineStr">
        <is>
          <t>G</t>
        </is>
      </c>
      <c r="B32" s="11" t="n">
        <v>74</v>
      </c>
      <c r="C32" s="11" t="n">
        <v>56</v>
      </c>
      <c r="D32" s="11" t="n">
        <v>48</v>
      </c>
      <c r="E32" s="11" t="n">
        <v>20</v>
      </c>
    </row>
    <row r="33">
      <c r="A33" s="10" t="inlineStr">
        <is>
          <t>GG</t>
        </is>
      </c>
      <c r="B33" s="11" t="n">
        <v>76</v>
      </c>
      <c r="C33" s="11" t="n">
        <v>58</v>
      </c>
      <c r="D33" s="11" t="n">
        <v>50</v>
      </c>
      <c r="E33" s="11" t="n">
        <v>22</v>
      </c>
    </row>
    <row r="34">
      <c r="A34" s="10" t="inlineStr">
        <is>
          <t>EG</t>
        </is>
      </c>
      <c r="B34" s="11" t="n">
        <v>78</v>
      </c>
      <c r="C34" s="11" t="n">
        <v>60</v>
      </c>
      <c r="D34" s="11" t="n">
        <v>52</v>
      </c>
      <c r="E34" s="11" t="n">
        <v>24</v>
      </c>
    </row>
    <row r="35" ht="30" customHeight="1">
      <c r="A35" s="2" t="inlineStr">
        <is>
          <t>Tabela regular padrão Lunfe (± 2 cm, + até 1 cm pela estonagem). Modelo 1,84 m / 84 kg veste M.</t>
        </is>
      </c>
    </row>
    <row r="36">
      <c r="A36" s="15" t="inlineStr">
        <is>
          <t>Modelo das fotos: 1,84 m · 84 kg · veste M</t>
        </is>
      </c>
    </row>
    <row r="38">
      <c r="A38" s="27" t="inlineStr">
        <is>
          <t>4. Cores disponíveis</t>
        </is>
      </c>
      <c r="B38" s="28" t="n"/>
      <c r="C38" s="28" t="n"/>
      <c r="D38" s="28" t="n"/>
      <c r="E38" s="28" t="n"/>
      <c r="F38" s="28" t="n"/>
    </row>
    <row r="39">
      <c r="A39" s="9" t="inlineStr">
        <is>
          <t>Cor</t>
        </is>
      </c>
      <c r="B39" s="9" t="inlineStr">
        <is>
          <t>Código HMZT</t>
        </is>
      </c>
      <c r="C39" s="9" t="inlineStr">
        <is>
          <t>Ref. fornecedor</t>
        </is>
      </c>
      <c r="D39" s="9" t="inlineStr">
        <is>
          <t>Observação</t>
        </is>
      </c>
    </row>
    <row r="40">
      <c r="A40" s="10" t="inlineStr">
        <is>
          <t>Preto estonado</t>
        </is>
      </c>
      <c r="B40" s="10" t="inlineStr">
        <is>
          <t>PRT</t>
        </is>
      </c>
      <c r="C40" s="10" t="inlineStr">
        <is>
          <t>EST-PRT</t>
        </is>
      </c>
      <c r="D40" s="10" t="inlineStr">
        <is>
          <t>Desgaste sutil — vira grafite lavado (foto #1)</t>
        </is>
      </c>
    </row>
    <row r="41">
      <c r="A41" s="10" t="inlineStr">
        <is>
          <t>Marinho estonado</t>
        </is>
      </c>
      <c r="B41" s="10" t="inlineStr">
        <is>
          <t>MAR</t>
        </is>
      </c>
      <c r="C41" s="10" t="inlineStr">
        <is>
          <t>EST-MRN</t>
        </is>
      </c>
      <c r="D41" s="10" t="inlineStr">
        <is>
          <t>Desgaste médio (fotos #11–14)</t>
        </is>
      </c>
    </row>
    <row r="42">
      <c r="A42" s="10" t="inlineStr">
        <is>
          <t>Damasco estonado</t>
        </is>
      </c>
      <c r="B42" s="10" t="inlineStr">
        <is>
          <t>DMS</t>
        </is>
      </c>
      <c r="C42" s="10" t="inlineStr">
        <is>
          <t>EST-DMS</t>
        </is>
      </c>
      <c r="D42" s="10" t="inlineStr">
        <is>
          <t>Pêssego claro (foto #15) — parece igual ao "Laranja Claro" do P13</t>
        </is>
      </c>
    </row>
    <row r="43">
      <c r="A43" s="10" t="inlineStr">
        <is>
          <t>Laranja estonado</t>
        </is>
      </c>
      <c r="B43" s="10" t="inlineStr">
        <is>
          <t>LRJ</t>
        </is>
      </c>
      <c r="C43" s="10" t="inlineStr">
        <is>
          <t>EST-LRJ</t>
        </is>
      </c>
      <c r="D43" s="10" t="inlineStr">
        <is>
          <t>Coral forte nas fotos #4–7</t>
        </is>
      </c>
    </row>
    <row r="44">
      <c r="A44" s="10" t="inlineStr">
        <is>
          <t>Bege estonado</t>
        </is>
      </c>
      <c r="B44" s="10" t="inlineStr">
        <is>
          <t>BGE</t>
        </is>
      </c>
      <c r="C44" s="10" t="inlineStr">
        <is>
          <t>EST-BGE</t>
        </is>
      </c>
      <c r="D44" s="10" t="inlineStr">
        <is>
          <t>Areia clara (fotos #8–10)</t>
        </is>
      </c>
    </row>
    <row r="45">
      <c r="A45" s="10" t="inlineStr">
        <is>
          <t>Cinza Claro estonado</t>
        </is>
      </c>
      <c r="B45" s="10" t="inlineStr">
        <is>
          <t>CZC</t>
        </is>
      </c>
      <c r="C45" s="10" t="inlineStr">
        <is>
          <t>EST-CZC</t>
        </is>
      </c>
      <c r="D45" s="10" t="inlineStr">
        <is>
          <t>Sem foto na galeria</t>
        </is>
      </c>
    </row>
    <row r="46" ht="30" customHeight="1">
      <c r="A46" s="2" t="inlineStr">
        <is>
          <t>Seletor da página = lista do texto (6 cores). Única página da família com referência de cor do fornecedor (EST-xxx). Cinza Claro não aparece nas fotos.</t>
        </is>
      </c>
    </row>
    <row r="48">
      <c r="A48" s="27" t="inlineStr">
        <is>
          <t>5. Personalização (preço sempre sob orçamento)</t>
        </is>
      </c>
      <c r="B48" s="28" t="n"/>
      <c r="C48" s="28" t="n"/>
      <c r="D48" s="28" t="n"/>
      <c r="E48" s="28" t="n"/>
      <c r="F48" s="28" t="n"/>
    </row>
    <row r="49">
      <c r="A49" s="9" t="inlineStr">
        <is>
          <t>Técnica</t>
        </is>
      </c>
      <c r="B49" s="9" t="inlineStr">
        <is>
          <t>Detalhe</t>
        </is>
      </c>
      <c r="C49" s="9" t="inlineStr">
        <is>
          <t>Mínimo</t>
        </is>
      </c>
    </row>
    <row r="50">
      <c r="A50" s="10" t="inlineStr">
        <is>
          <t>Silk base d'água</t>
        </is>
      </c>
      <c r="B50" s="10" t="inlineStr">
        <is>
          <t>Toque zero; combina com o visual lavado</t>
        </is>
      </c>
      <c r="C50" s="10" t="inlineStr">
        <is>
          <t>20 pç</t>
        </is>
      </c>
    </row>
    <row r="51">
      <c r="A51" s="10" t="inlineStr">
        <is>
          <t>Silk plastisol</t>
        </is>
      </c>
      <c r="B51" s="10" t="inlineStr">
        <is>
          <t>Cobertura total</t>
        </is>
      </c>
      <c r="C51" s="10" t="inlineStr">
        <is>
          <t>20 pç</t>
        </is>
      </c>
    </row>
    <row r="52">
      <c r="A52" s="10" t="inlineStr">
        <is>
          <t>Gel alto relevo / Puff 3D / Foil</t>
        </is>
      </c>
      <c r="B52" s="10" t="inlineStr">
        <is>
          <t>Efeitos sobre a base lavada — testar</t>
        </is>
      </c>
      <c r="C52" s="10" t="inlineStr">
        <is>
          <t>20 pç</t>
        </is>
      </c>
    </row>
    <row r="53">
      <c r="A53" s="10" t="inlineStr">
        <is>
          <t>DTF</t>
        </is>
      </c>
      <c r="B53" s="10" t="inlineStr">
        <is>
          <t>Full color</t>
        </is>
      </c>
      <c r="C53" s="10" t="inlineStr">
        <is>
          <t>20 pç</t>
        </is>
      </c>
    </row>
    <row r="54">
      <c r="A54" s="10" t="inlineStr">
        <is>
          <t>Bordado</t>
        </is>
      </c>
      <c r="B54" s="10" t="inlineStr">
        <is>
          <t>Peito, mangas</t>
        </is>
      </c>
      <c r="C54" s="10" t="inlineStr">
        <is>
          <t>20 pç</t>
        </is>
      </c>
    </row>
    <row r="55">
      <c r="A55" s="10" t="inlineStr">
        <is>
          <t>Etiqueta private label</t>
        </is>
      </c>
      <c r="B55" s="10" t="inlineStr">
        <is>
          <t>Interna costurada + tag externa</t>
        </is>
      </c>
      <c r="C55" s="10" t="inlineStr">
        <is>
          <t>20 pç</t>
        </is>
      </c>
    </row>
    <row r="56">
      <c r="A56" s="10" t="inlineStr">
        <is>
          <t>Embalagem customizada</t>
        </is>
      </c>
      <c r="B56" s="10" t="inlineStr">
        <is>
          <t>Saco, caixa, tag</t>
        </is>
      </c>
      <c r="C56" s="10" t="inlineStr">
        <is>
          <t>50 pç</t>
        </is>
      </c>
    </row>
    <row r="57">
      <c r="A57" s="10" t="inlineStr">
        <is>
          <t>Cor Pantone + stone wash</t>
        </is>
      </c>
      <c r="B57" s="10" t="inlineStr">
        <is>
          <t>Exige aprovação de amostra; 20–30 dias úteis</t>
        </is>
      </c>
      <c r="C57" s="10" t="inlineStr">
        <is>
          <t>100 pç/cor</t>
        </is>
      </c>
    </row>
    <row r="59">
      <c r="A59" s="27" t="inlineStr">
        <is>
          <t>6. Preços do fornecedor (desconto progressivo)</t>
        </is>
      </c>
      <c r="B59" s="28" t="n"/>
      <c r="C59" s="28" t="n"/>
      <c r="D59" s="28" t="n"/>
      <c r="E59" s="28" t="n"/>
      <c r="F59" s="28" t="n"/>
    </row>
    <row r="60">
      <c r="A60" s="24" t="inlineStr">
        <is>
          <t>Preço base (R$)</t>
        </is>
      </c>
      <c r="B60" s="31" t="n">
        <v>37.26</v>
      </c>
    </row>
    <row r="61">
      <c r="A61" s="17" t="inlineStr">
        <is>
          <t>Faixa</t>
        </is>
      </c>
      <c r="B61" s="17" t="inlineStr">
        <is>
          <t>Peças</t>
        </is>
      </c>
      <c r="C61" s="17" t="inlineStr">
        <is>
          <t>Desconto</t>
        </is>
      </c>
      <c r="D61" s="17" t="inlineStr">
        <is>
          <t>Preço unitário</t>
        </is>
      </c>
      <c r="E61" s="17" t="inlineStr">
        <is>
          <t>Preço + Pix</t>
        </is>
      </c>
    </row>
    <row r="62">
      <c r="A62" s="18" t="inlineStr">
        <is>
          <t>Faixa 1</t>
        </is>
      </c>
      <c r="B62" s="18" t="inlineStr">
        <is>
          <t>20–40</t>
        </is>
      </c>
      <c r="C62" s="32">
        <f>'Regras Fornecedor'!$D$4</f>
        <v/>
      </c>
      <c r="D62" s="33">
        <f>ROUND($B$60*(1-C62),2)</f>
        <v/>
      </c>
      <c r="E62" s="34">
        <f>ROUND(D62*(1-'Regras Fornecedor'!$B$10),2)</f>
        <v/>
      </c>
    </row>
    <row r="63">
      <c r="A63" s="18" t="inlineStr">
        <is>
          <t>Faixa 2</t>
        </is>
      </c>
      <c r="B63" s="18" t="inlineStr">
        <is>
          <t>40–80</t>
        </is>
      </c>
      <c r="C63" s="32">
        <f>'Regras Fornecedor'!$D$5</f>
        <v/>
      </c>
      <c r="D63" s="33">
        <f>ROUND($B$60*(1-C63),2)</f>
        <v/>
      </c>
      <c r="E63" s="34">
        <f>ROUND(D63*(1-'Regras Fornecedor'!$B$10),2)</f>
        <v/>
      </c>
    </row>
    <row r="64">
      <c r="A64" s="18" t="inlineStr">
        <is>
          <t>Faixa 3</t>
        </is>
      </c>
      <c r="B64" s="18" t="inlineStr">
        <is>
          <t>80–100</t>
        </is>
      </c>
      <c r="C64" s="32">
        <f>'Regras Fornecedor'!$D$6</f>
        <v/>
      </c>
      <c r="D64" s="33">
        <f>ROUND($B$60*(1-C64),2)</f>
        <v/>
      </c>
      <c r="E64" s="34">
        <f>ROUND(D64*(1-'Regras Fornecedor'!$B$10),2)</f>
        <v/>
      </c>
    </row>
    <row r="65">
      <c r="A65" s="18" t="inlineStr">
        <is>
          <t>Faixa 4</t>
        </is>
      </c>
      <c r="B65" s="18" t="inlineStr">
        <is>
          <t>100–300</t>
        </is>
      </c>
      <c r="C65" s="32">
        <f>'Regras Fornecedor'!$D$7</f>
        <v/>
      </c>
      <c r="D65" s="33">
        <f>ROUND($B$60*(1-C65),2)</f>
        <v/>
      </c>
      <c r="E65" s="34">
        <f>ROUND(D65*(1-'Regras Fornecedor'!$B$10),2)</f>
        <v/>
      </c>
    </row>
    <row r="66">
      <c r="A66" s="18" t="inlineStr">
        <is>
          <t>Faixa 5</t>
        </is>
      </c>
      <c r="B66" s="18" t="inlineStr">
        <is>
          <t>300–999</t>
        </is>
      </c>
      <c r="C66" s="32">
        <f>'Regras Fornecedor'!$D$8</f>
        <v/>
      </c>
      <c r="D66" s="33">
        <f>ROUND($B$60*(1-C66),2)</f>
        <v/>
      </c>
      <c r="E66" s="34">
        <f>ROUND(D66*(1-'Regras Fornecedor'!$B$10),2)</f>
        <v/>
      </c>
    </row>
    <row r="68">
      <c r="A68" s="27" t="inlineStr">
        <is>
          <t>7. Custo HMZT e margem (lote de 20 peças, Pix)</t>
        </is>
      </c>
      <c r="B68" s="28" t="n"/>
      <c r="C68" s="28" t="n"/>
      <c r="D68" s="28" t="n"/>
      <c r="E68" s="28" t="n"/>
      <c r="F68" s="28" t="n"/>
    </row>
    <row r="69">
      <c r="A69" s="24" t="inlineStr">
        <is>
          <t>Peça (20 pç, Pix)</t>
        </is>
      </c>
      <c r="B69" s="35">
        <f>E62</f>
        <v/>
      </c>
    </row>
    <row r="70">
      <c r="A70" s="24" t="inlineStr">
        <is>
          <t>Personalização + etiqueta + tag (R$/pç)</t>
        </is>
      </c>
      <c r="B70" s="36" t="n">
        <v>9</v>
      </c>
      <c r="C70" s="15" t="inlineStr">
        <is>
          <t>Estimativa HMZT — trocar pelo orçamento real</t>
        </is>
      </c>
    </row>
    <row r="71">
      <c r="A71" s="24" t="inlineStr">
        <is>
          <t>Frete rateado + embalagem (R$/pç)</t>
        </is>
      </c>
      <c r="B71" s="36" t="n">
        <v>4</v>
      </c>
      <c r="C71" s="15" t="inlineStr">
        <is>
          <t>Estimativa HMZT — trocar pelo orçamento real</t>
        </is>
      </c>
    </row>
    <row r="72">
      <c r="A72" s="24" t="inlineStr">
        <is>
          <t>Custo unitário estimado</t>
        </is>
      </c>
      <c r="B72" s="37">
        <f>SUM(B69:B71)</f>
        <v/>
      </c>
    </row>
    <row r="73">
      <c r="A73" s="24" t="inlineStr">
        <is>
          <t>Preço de venda HMZT (R$)</t>
        </is>
      </c>
      <c r="B73" s="36" t="n">
        <v>119</v>
      </c>
      <c r="C73" s="15" t="inlineStr">
        <is>
          <t>Sugestão do dossiê — ajustar</t>
        </is>
      </c>
    </row>
    <row r="74">
      <c r="A74" s="24" t="inlineStr">
        <is>
          <t>Impostos + gateway (% do preço)</t>
        </is>
      </c>
      <c r="B74" s="38" t="n">
        <v>0</v>
      </c>
      <c r="C74" s="15" t="inlineStr">
        <is>
          <t>A preencher (Simples + taxa Asaas)</t>
        </is>
      </c>
    </row>
    <row r="75">
      <c r="A75" s="24" t="inlineStr">
        <is>
          <t>Margem bruta (R$)</t>
        </is>
      </c>
      <c r="B75" s="35">
        <f>B73-B72</f>
        <v/>
      </c>
    </row>
    <row r="76">
      <c r="A76" s="24" t="inlineStr">
        <is>
          <t>Margem bruta (%)</t>
        </is>
      </c>
      <c r="B76" s="39">
        <f>IF(B73=0,0,(B73-B72)/B73)</f>
        <v/>
      </c>
    </row>
    <row r="77">
      <c r="A77" s="24" t="inlineStr">
        <is>
          <t>Margem após impostos/gateway (%)</t>
        </is>
      </c>
      <c r="B77" s="39">
        <f>IF(B73=0,0,(B73*(1-B74)-B72)/B73)</f>
        <v/>
      </c>
      <c r="C77" s="15" t="inlineStr">
        <is>
          <t>Ainda sem frete ao cliente e mídia</t>
        </is>
      </c>
    </row>
    <row r="79">
      <c r="A79" s="27" t="inlineStr">
        <is>
          <t>8. Contradições e erros ⚠️</t>
        </is>
      </c>
      <c r="B79" s="28" t="n"/>
      <c r="C79" s="28" t="n"/>
      <c r="D79" s="28" t="n"/>
      <c r="E79" s="28" t="n"/>
      <c r="F79" s="28" t="n"/>
    </row>
    <row r="80">
      <c r="A80" s="8" t="inlineStr">
        <is>
          <t>⚠️ P14 × P13: o P13 é a mesma peça (mesma ficha, preço, medidas e fotos) com outro EAN e outra cartela — o texto do P13 até copia as cores do P14.</t>
        </is>
      </c>
    </row>
    <row r="81">
      <c r="A81" s="8" t="inlineStr">
        <is>
          <t>⚠️ "Processo artesanal" × "industrial calibrado": o mesmo texto chama a estonagem das duas coisas.</t>
        </is>
      </c>
    </row>
    <row r="82">
      <c r="A82" s="8" t="inlineStr">
        <is>
          <t>⚠️ Estonagem interna × lavanderia: aqui "sem lavanderia terceirizada"; no P17, "estonagem em lavanderia industrial". Pode ser lavanderia própria — confirmar.</t>
        </is>
      </c>
    </row>
    <row r="83">
      <c r="A83" s="8" t="inlineStr">
        <is>
          <t>⚠️ Gramatura: 175 g/m² no texto × "180GSM" nos banners da família. Provavelmente antes × depois da lavagem.</t>
        </is>
      </c>
    </row>
    <row r="84">
      <c r="A84" s="8" t="inlineStr">
        <is>
          <t>⚠️ Cor "permanente": aqui "não progride nas lavagens"; P13/P15 dizem "sem desbotamento excessivo" e recomendam lavar do avesso em água fria para prolongar a cor. Algum desbote vai acontecer.</t>
        </is>
      </c>
    </row>
    <row r="85">
      <c r="A85" s="8" t="inlineStr">
        <is>
          <t>⚠️ Prazo Pantone: aqui 20–30 dias úteis; regra geral Lunfe (outros dossiês) 15–25. Faz sentido (tem amostra de lavagem), mas confirmar.</t>
        </is>
      </c>
    </row>
    <row r="86">
      <c r="A86" s="8" t="inlineStr">
        <is>
          <t>⚠️ Personalização: oferece plastisol, gel, puff e foil sobre a base lavada. Funciona se aplicado depois da lavagem (peça pronta). Se a estampa for aplicada antes da estonagem, as pedras destroem foil, puff e plastisol ⚠️. Foil sobre superfície desgastada precisa de teste de aderência.</t>
        </is>
      </c>
    </row>
    <row r="87">
      <c r="A87" s="8" t="inlineStr">
        <is>
          <t>⚠️ Bordado em 175 g: malha leve franze com bordado grande. Manter logo pequeno (≤ 8–9 cm) com entretela.</t>
        </is>
      </c>
    </row>
    <row r="88">
      <c r="A88" s="8" t="inlineStr">
        <is>
          <t>⚠️ Comparativo do próprio texto: coloca a Chinese Cotton 160g (P06) como "premium versátil" — base com algodão de origem sensível; a HMZT não usa essa comparação.</t>
        </is>
      </c>
    </row>
    <row r="89">
      <c r="A89" s="8" t="inlineStr">
        <is>
          <t>⚠️ Widget "Produtos relacionados": mostra este produto como "Esse acabou" em outras páginas, mas a própria página diz "Disponibilidade: Imediata".</t>
        </is>
      </c>
    </row>
    <row r="91">
      <c r="A91" s="27" t="inlineStr">
        <is>
          <t>9. Comunicação HMZT</t>
        </is>
      </c>
      <c r="B91" s="28" t="n"/>
      <c r="C91" s="28" t="n"/>
      <c r="D91" s="28" t="n"/>
      <c r="E91" s="28" t="n"/>
      <c r="F91" s="28" t="n"/>
    </row>
    <row r="92">
      <c r="A92" s="24" t="inlineStr">
        <is>
          <t>✅ Pode usar</t>
        </is>
      </c>
      <c r="D92" s="24" t="inlineStr">
        <is>
          <t>📣 / ⛔ Não usar</t>
        </is>
      </c>
    </row>
    <row r="93">
      <c r="A93" s="40" t="inlineStr">
        <is>
          <t>"100% algodão penteado, fio 30/1"</t>
        </is>
      </c>
      <c r="D93" s="8" t="inlineStr">
        <is>
          <t>"Ticket médio 25–40% acima do básico liso" / "+35% vs liso"</t>
        </is>
      </c>
    </row>
    <row r="94">
      <c r="A94" s="40" t="inlineStr">
        <is>
          <t>"Lavada com pedras depois de costurada: cada peça tem tom e desgaste levemente diferentes" (é o processo físico — dizer como característica, não como "defeito" nem "exclusividade")</t>
        </is>
      </c>
      <c r="D94" s="8" t="inlineStr">
        <is>
          <t>"Exclusividade real que justifica preço premium" / "a peça se diferencia sozinha"</t>
        </is>
      </c>
    </row>
    <row r="95">
      <c r="A95" s="40" t="inlineStr">
        <is>
          <t>"Gola canelada 2/1, costura ponto cadeia, reforço ombro a ombro, barra dupla"</t>
        </is>
      </c>
      <c r="D95" s="8" t="inlineStr">
        <is>
          <t>"Consistência que estonagens terceirizadas não alcançam"</t>
        </is>
      </c>
    </row>
    <row r="96">
      <c r="A96" s="40" t="inlineStr">
        <is>
          <t>"Pré-encolhida e com tratamento anti-torção"</t>
        </is>
      </c>
      <c r="D96" s="8" t="inlineStr">
        <is>
          <t>"Toque de camiseta lavada 50 vezes" / "nenhum amaciamento químico reproduz"</t>
        </is>
      </c>
    </row>
    <row r="97">
      <c r="A97" s="40" t="inlineStr">
        <is>
          <t>"Fabricada em Santa Catarina"</t>
        </is>
      </c>
      <c r="D97" s="8" t="inlineStr">
        <is>
          <t>"Não desbota" / "visual vintage permanente" (banner diz "Não desbota" numa peça que é desbotada de propósito)</t>
        </is>
      </c>
    </row>
    <row r="98">
      <c r="D98" s="8" t="inlineStr">
        <is>
          <t>"Sustenta recompra", "converte", "avaliação positiva desde a primeira vestida"</t>
        </is>
      </c>
    </row>
    <row r="99">
      <c r="D99" s="8" t="inlineStr">
        <is>
          <t>Selos genéricos da galeria ("100% Original")</t>
        </is>
      </c>
    </row>
    <row r="100">
      <c r="D100" s="8" t="inlineStr">
        <is>
          <t>"A fábrica está produzindo agora — vai ser para a sua marca ou para o concorrente?"</t>
        </is>
      </c>
    </row>
    <row r="102">
      <c r="A102" s="27" t="inlineStr">
        <is>
          <t>10. Pendências com o fornecedor</t>
        </is>
      </c>
      <c r="B102" s="28" t="n"/>
      <c r="C102" s="28" t="n"/>
      <c r="D102" s="28" t="n"/>
      <c r="E102" s="28" t="n"/>
      <c r="F102" s="28" t="n"/>
    </row>
    <row r="103">
      <c r="A103" s="9" t="inlineStr">
        <is>
          <t>Pendência</t>
        </is>
      </c>
      <c r="B103" s="9" t="inlineStr">
        <is>
          <t>Status</t>
        </is>
      </c>
      <c r="C103" s="9" t="inlineStr">
        <is>
          <t>Responsável</t>
        </is>
      </c>
      <c r="D103" s="9" t="inlineStr">
        <is>
          <t>Resposta</t>
        </is>
      </c>
    </row>
    <row r="104">
      <c r="A104" s="10" t="inlineStr">
        <is>
          <t>Estonagem própria × lavanderia terceirizada</t>
        </is>
      </c>
      <c r="B104" s="11" t="inlineStr">
        <is>
          <t>Aberta</t>
        </is>
      </c>
      <c r="C104" s="11" t="inlineStr"/>
      <c r="D104" s="11" t="inlineStr"/>
    </row>
    <row r="105">
      <c r="A105" s="10" t="inlineStr">
        <is>
          <t>Confirmar gramatura (175 g/m² × 180 GSM dos banners)</t>
        </is>
      </c>
      <c r="B105" s="11" t="inlineStr">
        <is>
          <t>Aberta</t>
        </is>
      </c>
      <c r="C105" s="11" t="inlineStr"/>
      <c r="D105" s="11" t="inlineStr"/>
    </row>
    <row r="106">
      <c r="A106" s="10" t="inlineStr">
        <is>
          <t>Orçamento de personalização (bordado pequeno, DTF, etiqueta, tag) e frete Itajaí → SP</t>
        </is>
      </c>
      <c r="B106" s="11" t="inlineStr">
        <is>
          <t>Aberta</t>
        </is>
      </c>
      <c r="C106" s="11" t="inlineStr"/>
      <c r="D106" s="11" t="inlineStr"/>
    </row>
    <row r="107">
      <c r="A107" s="10" t="inlineStr">
        <is>
          <t>Origem do algodão (não citada nesta página)</t>
        </is>
      </c>
      <c r="B107" s="11" t="inlineStr">
        <is>
          <t>Aberta</t>
        </is>
      </c>
      <c r="C107" s="11" t="inlineStr"/>
      <c r="D107" s="11" t="inlineStr"/>
    </row>
    <row r="108">
      <c r="A108" s="10" t="inlineStr">
        <is>
          <t>Tolerância de variação de tom entre lotes</t>
        </is>
      </c>
      <c r="B108" s="11" t="inlineStr">
        <is>
          <t>Aberta</t>
        </is>
      </c>
      <c r="C108" s="11" t="inlineStr"/>
      <c r="D108" s="11" t="inlineStr"/>
    </row>
    <row r="110">
      <c r="A110" s="27" t="inlineStr">
        <is>
          <t>11. Fluxo de prompts de lookbook (docs/shop-confeccao/prompts/P14-prompts.md)</t>
        </is>
      </c>
      <c r="B110" s="28" t="n"/>
      <c r="C110" s="28" t="n"/>
      <c r="D110" s="28" t="n"/>
      <c r="E110" s="28" t="n"/>
      <c r="F110" s="28" t="n"/>
    </row>
    <row r="111">
      <c r="A111" s="9" t="inlineStr">
        <is>
          <t>Foto</t>
        </is>
      </c>
      <c r="B111" s="9" t="inlineStr">
        <is>
          <t>Origem no print</t>
        </is>
      </c>
      <c r="C111" s="9" t="inlineStr">
        <is>
          <t>Formato</t>
        </is>
      </c>
      <c r="D111" s="9" t="inlineStr">
        <is>
          <t>Status</t>
        </is>
      </c>
    </row>
    <row r="112">
      <c r="A112" s="10" t="inlineStr">
        <is>
          <t>F1 — Frontal braços soltos</t>
        </is>
      </c>
      <c r="B112" s="10" t="inlineStr">
        <is>
          <t>Origem: fotos #1 (preto), #11 (marinho) e #15 (damasco)</t>
        </is>
      </c>
      <c r="C112" s="10" t="inlineStr">
        <is>
          <t>4:5</t>
        </is>
      </c>
      <c r="D112" s="11" t="inlineStr">
        <is>
          <t>A gerar</t>
        </is>
      </c>
    </row>
    <row r="113">
      <c r="A113" s="10" t="inlineStr">
        <is>
          <t>F2 — Costas retas</t>
        </is>
      </c>
      <c r="B113" s="10" t="inlineStr">
        <is>
          <t>Origem: fotos #2 (preto) e #6 (laranja)</t>
        </is>
      </c>
      <c r="C113" s="10" t="inlineStr">
        <is>
          <t>4:5</t>
        </is>
      </c>
      <c r="D113" s="11" t="inlineStr">
        <is>
          <t>A gerar</t>
        </is>
      </c>
    </row>
    <row r="114">
      <c r="A114" s="10" t="inlineStr">
        <is>
          <t>F3 — Costas com rosto de perfil</t>
        </is>
      </c>
      <c r="B114" s="10" t="inlineStr">
        <is>
          <t>Origem: foto #13 (marinho)</t>
        </is>
      </c>
      <c r="C114" s="10" t="inlineStr">
        <is>
          <t>4:5</t>
        </is>
      </c>
      <c r="D114" s="11" t="inlineStr">
        <is>
          <t>A gerar</t>
        </is>
      </c>
    </row>
    <row r="115">
      <c r="A115" s="10" t="inlineStr">
        <is>
          <t>F4 — Detalhe ombro e manga</t>
        </is>
      </c>
      <c r="B115" s="10" t="inlineStr">
        <is>
          <t>Origem: fotos #3 (preto), #9 (bege) e #14 (marinho)</t>
        </is>
      </c>
      <c r="C115" s="10" t="inlineStr">
        <is>
          <t>4:5</t>
        </is>
      </c>
      <c r="D115" s="11" t="inlineStr">
        <is>
          <t>A gerar</t>
        </is>
      </c>
    </row>
    <row r="116">
      <c r="A116" s="10" t="inlineStr">
        <is>
          <t>F5 — Detalhe mão na manga</t>
        </is>
      </c>
      <c r="B116" s="10" t="inlineStr">
        <is>
          <t>Origem: foto #7 (laranja)</t>
        </is>
      </c>
      <c r="C116" s="10" t="inlineStr">
        <is>
          <t>4:5</t>
        </is>
      </c>
      <c r="D116" s="11" t="inlineStr">
        <is>
          <t>A gerar</t>
        </is>
      </c>
    </row>
    <row r="117">
      <c r="A117" s="10" t="inlineStr">
        <is>
          <t>F6 — Detalhe gola frontal</t>
        </is>
      </c>
      <c r="B117" s="10" t="inlineStr">
        <is>
          <t>Origem: foto #10 (bege)</t>
        </is>
      </c>
      <c r="C117" s="10" t="inlineStr">
        <is>
          <t>4:5</t>
        </is>
      </c>
      <c r="D117" s="11" t="inlineStr">
        <is>
          <t>A gerar</t>
        </is>
      </c>
    </row>
    <row r="118">
      <c r="A118" s="10" t="inlineStr">
        <is>
          <t>F7 — 3/4 mão na barra, olhar baixo</t>
        </is>
      </c>
      <c r="B118" s="10" t="inlineStr">
        <is>
          <t>Origem: fotos #4 (laranja) e #8 (bege)</t>
        </is>
      </c>
      <c r="C118" s="10" t="inlineStr">
        <is>
          <t>4:5</t>
        </is>
      </c>
      <c r="D118" s="11" t="inlineStr">
        <is>
          <t>A gerar</t>
        </is>
      </c>
    </row>
    <row r="119">
      <c r="A119" s="10" t="inlineStr">
        <is>
          <t>F8 — Mão na nuca</t>
        </is>
      </c>
      <c r="B119" s="10" t="inlineStr">
        <is>
          <t>Origem: foto #5 (laranja)</t>
        </is>
      </c>
      <c r="C119" s="10" t="inlineStr">
        <is>
          <t>4:5</t>
        </is>
      </c>
      <c r="D119" s="11" t="inlineStr">
        <is>
          <t>A gerar</t>
        </is>
      </c>
    </row>
    <row r="120">
      <c r="A120" s="10" t="inlineStr">
        <is>
          <t>F9 — Olhar de perfil</t>
        </is>
      </c>
      <c r="B120" s="10" t="inlineStr">
        <is>
          <t>Origem: foto #12 (marinho)</t>
        </is>
      </c>
      <c r="C120" s="10" t="inlineStr">
        <is>
          <t>4:5</t>
        </is>
      </c>
      <c r="D120" s="11" t="inlineStr">
        <is>
          <t>A gerar</t>
        </is>
      </c>
    </row>
  </sheetData>
  <mergeCells count="45">
    <mergeCell ref="B4:F4"/>
    <mergeCell ref="B7:F7"/>
    <mergeCell ref="A46:F46"/>
    <mergeCell ref="A84:F84"/>
    <mergeCell ref="A80:F80"/>
    <mergeCell ref="A89:F89"/>
    <mergeCell ref="B15:E15"/>
    <mergeCell ref="D97:F97"/>
    <mergeCell ref="B24:E24"/>
    <mergeCell ref="B20:E20"/>
    <mergeCell ref="A86:F86"/>
    <mergeCell ref="A95:C95"/>
    <mergeCell ref="B26:E26"/>
    <mergeCell ref="A85:F85"/>
    <mergeCell ref="B11:F11"/>
    <mergeCell ref="D93:F93"/>
    <mergeCell ref="B16:E16"/>
    <mergeCell ref="A97:C97"/>
    <mergeCell ref="B25:E25"/>
    <mergeCell ref="A35:F35"/>
    <mergeCell ref="B8:F8"/>
    <mergeCell ref="A96:C96"/>
    <mergeCell ref="B22:E22"/>
    <mergeCell ref="A81:F81"/>
    <mergeCell ref="B18:E18"/>
    <mergeCell ref="D98:F98"/>
    <mergeCell ref="A93:C93"/>
    <mergeCell ref="B10:F10"/>
    <mergeCell ref="D94:F94"/>
    <mergeCell ref="B21:E21"/>
    <mergeCell ref="A83:F83"/>
    <mergeCell ref="D100:F100"/>
    <mergeCell ref="B9:F9"/>
    <mergeCell ref="B17:E17"/>
    <mergeCell ref="B23:E23"/>
    <mergeCell ref="A82:F82"/>
    <mergeCell ref="D99:F99"/>
    <mergeCell ref="B6:F6"/>
    <mergeCell ref="A94:C94"/>
    <mergeCell ref="B5:F5"/>
    <mergeCell ref="A88:F88"/>
    <mergeCell ref="D96:F96"/>
    <mergeCell ref="B19:E19"/>
    <mergeCell ref="A87:F87"/>
    <mergeCell ref="D95:F9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18"/>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P15 — Camiseta Estonada Neon Regular 175g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HMZT-P15-REG-ESN175</t>
        </is>
      </c>
    </row>
    <row r="5">
      <c r="A5" s="24" t="inlineStr">
        <is>
          <t>Fornecedor</t>
        </is>
      </c>
      <c r="B5" s="2" t="inlineStr">
        <is>
          <t>Lunfe Malhas — fabricação própria, Itajaí-SC</t>
        </is>
      </c>
    </row>
    <row r="6">
      <c r="A6" s="24" t="inlineStr">
        <is>
          <t>Referência</t>
        </is>
      </c>
      <c r="B6" s="2" t="inlineStr">
        <is>
          <t>código interno ESTON#NEON/24</t>
        </is>
      </c>
    </row>
    <row r="7">
      <c r="A7" s="24" t="inlineStr">
        <is>
          <t>URL</t>
        </is>
      </c>
      <c r="B7" s="2" t="inlineStr">
        <is>
          <t>lunfemalhas.com.br/camiseta-estonada-neon-atacado-algodao-penteado-lunfe</t>
        </is>
      </c>
    </row>
    <row r="8">
      <c r="A8" s="24" t="inlineStr">
        <is>
          <t>Categoria no site</t>
        </is>
      </c>
      <c r="B8" s="2" t="inlineStr">
        <is>
          <t>Camisetas › Masculino › Regular Fit</t>
        </is>
      </c>
    </row>
    <row r="9">
      <c r="A9" s="24" t="inlineStr">
        <is>
          <t>Linha HMZT recomendada</t>
        </is>
      </c>
      <c r="B9" s="2" t="inlineStr">
        <is>
          <t>Lavada/Vintage — cápsula de verão (drop)</t>
        </is>
      </c>
    </row>
    <row r="10">
      <c r="A10" s="24" t="inlineStr">
        <is>
          <t>Estoque</t>
        </is>
      </c>
      <c r="B10" s="2" t="inlineStr">
        <is>
          <t>Disponibilidade imediata (6 cores neon)</t>
        </is>
      </c>
    </row>
    <row r="11">
      <c r="A11" s="24" t="inlineStr">
        <is>
          <t>Descritor canônico (IA)</t>
        </is>
      </c>
      <c r="B11" s="2" t="inlineStr">
        <is>
          <t>Camiseta masculina regular fit, manga curta, algodão penteado 175 g em cor neon fluorescente, fosca, com lavagem leve e irregular (levemente mesclada, mais clara nas costuras e na borda da gola canelada 2/1). Barra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penteado</t>
        </is>
      </c>
      <c r="C15" s="29" t="n"/>
      <c r="D15" s="29" t="n"/>
      <c r="E15" s="30" t="n"/>
    </row>
    <row r="16">
      <c r="A16" s="10" t="inlineStr">
        <is>
          <t>Fio</t>
        </is>
      </c>
      <c r="B16" s="10" t="inlineStr">
        <is>
          <t>30/1 penteado</t>
        </is>
      </c>
      <c r="C16" s="29" t="n"/>
      <c r="D16" s="29" t="n"/>
      <c r="E16" s="30" t="n"/>
    </row>
    <row r="17">
      <c r="A17" s="10" t="inlineStr">
        <is>
          <t>Gramatura</t>
        </is>
      </c>
      <c r="B17" s="10" t="inlineStr">
        <is>
          <t>175 g/m² (texto) × 180 GSM (banner da galeria)</t>
        </is>
      </c>
      <c r="C17" s="29" t="n"/>
      <c r="D17" s="29" t="n"/>
      <c r="E17" s="30" t="n"/>
    </row>
    <row r="18">
      <c r="A18" s="10" t="inlineStr">
        <is>
          <t>Modelagem</t>
        </is>
      </c>
      <c r="B18" s="10" t="inlineStr">
        <is>
          <t>Regular (tabela padrão Lunfe)</t>
        </is>
      </c>
      <c r="C18" s="29" t="n"/>
      <c r="D18" s="29" t="n"/>
      <c r="E18" s="30" t="n"/>
    </row>
    <row r="19">
      <c r="A19" s="10" t="inlineStr">
        <is>
          <t>Cores</t>
        </is>
      </c>
      <c r="B19" s="10" t="inlineStr">
        <is>
          <t>6 neon — solidez à luz não informada</t>
        </is>
      </c>
      <c r="C19" s="29" t="n"/>
      <c r="D19" s="29" t="n"/>
      <c r="E19" s="30" t="n"/>
    </row>
    <row r="20">
      <c r="A20" s="10" t="inlineStr">
        <is>
          <t>Acabamento</t>
        </is>
      </c>
      <c r="B20" s="10" t="inlineStr">
        <is>
          <t>Stone wash (lavagem com pedras-pomes) após a confecção + fixação pós-estonagem</t>
        </is>
      </c>
      <c r="C20" s="29" t="n"/>
      <c r="D20" s="29" t="n"/>
      <c r="E20" s="30" t="n"/>
    </row>
    <row r="21">
      <c r="A21" s="10" t="inlineStr">
        <is>
          <t>Gola</t>
        </is>
      </c>
      <c r="B21" s="10" t="inlineStr">
        <is>
          <t>Canelada 2/1, fecho em anel, reforço ombro a ombro</t>
        </is>
      </c>
      <c r="C21" s="29" t="n"/>
      <c r="D21" s="29" t="n"/>
      <c r="E21" s="30" t="n"/>
    </row>
    <row r="22">
      <c r="A22" s="10" t="inlineStr">
        <is>
          <t>Costuras</t>
        </is>
      </c>
      <c r="B22" s="10" t="inlineStr">
        <is>
          <t>Ponto cadeia; barra dupla em mangas e barra</t>
        </is>
      </c>
      <c r="C22" s="29" t="n"/>
      <c r="D22" s="29" t="n"/>
      <c r="E22" s="30" t="n"/>
    </row>
    <row r="23">
      <c r="A23" s="10" t="inlineStr">
        <is>
          <t>Tratamentos</t>
        </is>
      </c>
      <c r="B23" s="10" t="inlineStr">
        <is>
          <t>Pré-encolhimento, anti-torção, amaciamento</t>
        </is>
      </c>
      <c r="C23" s="29" t="n"/>
      <c r="D23" s="29" t="n"/>
      <c r="E23" s="30" t="n"/>
    </row>
    <row r="24">
      <c r="A24" s="10" t="inlineStr">
        <is>
          <t>Tamanhos</t>
        </is>
      </c>
      <c r="B24" s="10" t="inlineStr">
        <is>
          <t>P ao EG (5)</t>
        </is>
      </c>
      <c r="C24" s="29" t="n"/>
      <c r="D24" s="29" t="n"/>
      <c r="E24" s="30" t="n"/>
    </row>
    <row r="25">
      <c r="A25" s="10" t="inlineStr">
        <is>
          <t>Produção</t>
        </is>
      </c>
      <c r="B25" s="10" t="inlineStr">
        <is>
          <t>Fabricação própria Lunfe — Itajaí-SC</t>
        </is>
      </c>
      <c r="C25" s="29" t="n"/>
      <c r="D25" s="29" t="n"/>
      <c r="E25" s="30" t="n"/>
    </row>
    <row r="26">
      <c r="A26" s="10" t="inlineStr">
        <is>
          <t>Toque</t>
        </is>
      </c>
      <c r="B26" s="10" t="inlineStr">
        <is>
          <t>"Ultra macio, como camiseta lavada 50 vezes"</t>
        </is>
      </c>
      <c r="C26" s="29" t="n"/>
      <c r="D26" s="29" t="n"/>
      <c r="E26" s="30" t="n"/>
    </row>
    <row r="27">
      <c r="A27" s="10" t="inlineStr">
        <is>
          <t>Cor</t>
        </is>
      </c>
      <c r="B27" s="10" t="inlineStr">
        <is>
          <t>"Não progride nas lavagens domésticas"</t>
        </is>
      </c>
      <c r="C27" s="29" t="n"/>
      <c r="D27" s="29" t="n"/>
      <c r="E27" s="30" t="n"/>
    </row>
    <row r="29">
      <c r="A29" s="27" t="inlineStr">
        <is>
          <t>3. Tabela de medidas (cm)</t>
        </is>
      </c>
      <c r="B29" s="28" t="n"/>
      <c r="C29" s="28" t="n"/>
      <c r="D29" s="28" t="n"/>
      <c r="E29" s="28" t="n"/>
      <c r="F29" s="28" t="n"/>
    </row>
    <row r="30">
      <c r="A30" s="9" t="inlineStr">
        <is>
          <t>Tamanho</t>
        </is>
      </c>
      <c r="B30" s="9" t="inlineStr">
        <is>
          <t>Comprimento</t>
        </is>
      </c>
      <c r="C30" s="9" t="inlineStr">
        <is>
          <t>Largura</t>
        </is>
      </c>
      <c r="D30" s="9" t="inlineStr">
        <is>
          <t>Ombros</t>
        </is>
      </c>
      <c r="E30" s="9" t="inlineStr">
        <is>
          <t>Mangas</t>
        </is>
      </c>
    </row>
    <row r="31">
      <c r="A31" s="10" t="inlineStr">
        <is>
          <t>P</t>
        </is>
      </c>
      <c r="B31" s="11" t="n">
        <v>70</v>
      </c>
      <c r="C31" s="11" t="n">
        <v>52</v>
      </c>
      <c r="D31" s="11" t="n">
        <v>44</v>
      </c>
      <c r="E31" s="11" t="n">
        <v>16</v>
      </c>
    </row>
    <row r="32">
      <c r="A32" s="10" t="inlineStr">
        <is>
          <t>M</t>
        </is>
      </c>
      <c r="B32" s="11" t="n">
        <v>72</v>
      </c>
      <c r="C32" s="11" t="n">
        <v>54</v>
      </c>
      <c r="D32" s="11" t="n">
        <v>46</v>
      </c>
      <c r="E32" s="11" t="n">
        <v>18</v>
      </c>
    </row>
    <row r="33">
      <c r="A33" s="10" t="inlineStr">
        <is>
          <t>G</t>
        </is>
      </c>
      <c r="B33" s="11" t="n">
        <v>74</v>
      </c>
      <c r="C33" s="11" t="n">
        <v>56</v>
      </c>
      <c r="D33" s="11" t="n">
        <v>48</v>
      </c>
      <c r="E33" s="11" t="n">
        <v>20</v>
      </c>
    </row>
    <row r="34">
      <c r="A34" s="10" t="inlineStr">
        <is>
          <t>GG</t>
        </is>
      </c>
      <c r="B34" s="11" t="n">
        <v>76</v>
      </c>
      <c r="C34" s="11" t="n">
        <v>58</v>
      </c>
      <c r="D34" s="11" t="n">
        <v>50</v>
      </c>
      <c r="E34" s="11" t="n">
        <v>22</v>
      </c>
    </row>
    <row r="35">
      <c r="A35" s="10" t="inlineStr">
        <is>
          <t>EG</t>
        </is>
      </c>
      <c r="B35" s="11" t="n">
        <v>78</v>
      </c>
      <c r="C35" s="11" t="n">
        <v>60</v>
      </c>
      <c r="D35" s="11" t="n">
        <v>52</v>
      </c>
      <c r="E35" s="11" t="n">
        <v>24</v>
      </c>
    </row>
    <row r="36" ht="30" customHeight="1">
      <c r="A36" s="2" t="inlineStr">
        <is>
          <t>Mesma tabela regular do P14 (± 1–2 cm). ⚠️ Texto diz modelo 1,79 m / 82 kg — é o mesmo modelo das fotos do P13/P14 (que o P14 diz ter 1,84 m / 84 kg).</t>
        </is>
      </c>
    </row>
    <row r="37">
      <c r="A37" s="15" t="inlineStr">
        <is>
          <t>Modelo das fotos: 1,84 m · 84 kg · veste M</t>
        </is>
      </c>
    </row>
    <row r="39">
      <c r="A39" s="27" t="inlineStr">
        <is>
          <t>4. Cores disponíveis</t>
        </is>
      </c>
      <c r="B39" s="28" t="n"/>
      <c r="C39" s="28" t="n"/>
      <c r="D39" s="28" t="n"/>
      <c r="E39" s="28" t="n"/>
      <c r="F39" s="28" t="n"/>
    </row>
    <row r="40">
      <c r="A40" s="9" t="inlineStr">
        <is>
          <t>Cor</t>
        </is>
      </c>
      <c r="B40" s="9" t="inlineStr">
        <is>
          <t>Código HMZT</t>
        </is>
      </c>
      <c r="C40" s="9" t="inlineStr">
        <is>
          <t>Ref. fornecedor</t>
        </is>
      </c>
      <c r="D40" s="9" t="inlineStr">
        <is>
          <t>Observação</t>
        </is>
      </c>
    </row>
    <row r="41">
      <c r="A41" s="10" t="inlineStr">
        <is>
          <t>Verde Neon</t>
        </is>
      </c>
      <c r="B41" s="10" t="inlineStr">
        <is>
          <t>VNN</t>
        </is>
      </c>
      <c r="C41" s="10" t="inlineStr">
        <is>
          <t>n/i</t>
        </is>
      </c>
      <c r="D41" s="10" t="inlineStr">
        <is>
          <t>Fotos #6–8</t>
        </is>
      </c>
    </row>
    <row r="42">
      <c r="A42" s="10" t="inlineStr">
        <is>
          <t>Laranja Neon</t>
        </is>
      </c>
      <c r="B42" s="10" t="inlineStr">
        <is>
          <t>LRN</t>
        </is>
      </c>
      <c r="C42" s="10" t="inlineStr">
        <is>
          <t>n/i</t>
        </is>
      </c>
      <c r="D42" s="10" t="inlineStr">
        <is>
          <t>Fotos #1, #2, #5</t>
        </is>
      </c>
    </row>
    <row r="43">
      <c r="A43" s="10" t="inlineStr">
        <is>
          <t>Amarelo Neon</t>
        </is>
      </c>
      <c r="B43" s="10" t="inlineStr">
        <is>
          <t>AMN</t>
        </is>
      </c>
      <c r="C43" s="10" t="inlineStr">
        <is>
          <t>n/i</t>
        </is>
      </c>
      <c r="D43" s="10" t="inlineStr">
        <is>
          <t>Amarelo-limão (fotos #14–16)</t>
        </is>
      </c>
    </row>
    <row r="44">
      <c r="A44" s="10" t="inlineStr">
        <is>
          <t>Azul Neon</t>
        </is>
      </c>
      <c r="B44" s="10" t="inlineStr">
        <is>
          <t>AZN</t>
        </is>
      </c>
      <c r="C44" s="10" t="inlineStr">
        <is>
          <t>n/i</t>
        </is>
      </c>
      <c r="D44" s="10" t="inlineStr">
        <is>
          <t>Azul-turquesa (fotos #18–21)</t>
        </is>
      </c>
    </row>
    <row r="45">
      <c r="A45" s="10" t="inlineStr">
        <is>
          <t>Rosa Neon</t>
        </is>
      </c>
      <c r="B45" s="10" t="inlineStr">
        <is>
          <t>RSN</t>
        </is>
      </c>
      <c r="C45" s="10" t="inlineStr">
        <is>
          <t>n/i</t>
        </is>
      </c>
      <c r="D45" s="10" t="inlineStr">
        <is>
          <t>Rosa-salmão (foto #17)</t>
        </is>
      </c>
    </row>
    <row r="46">
      <c r="A46" s="10" t="inlineStr">
        <is>
          <t>Roxo Neon</t>
        </is>
      </c>
      <c r="B46" s="10" t="inlineStr">
        <is>
          <t>RXN</t>
        </is>
      </c>
      <c r="C46" s="10" t="inlineStr">
        <is>
          <t>n/i</t>
        </is>
      </c>
      <c r="D46" s="10" t="inlineStr">
        <is>
          <t>Magenta-violeta (fotos #9, #11, #12)</t>
        </is>
      </c>
    </row>
    <row r="47" ht="30" customHeight="1">
      <c r="A47" s="2" t="inlineStr">
        <is>
          <t>Seletor = texto (6 cores). ⚠️ O banner #13 ("Camisetas Estonadas") mostra uma pilha em tons pastel (lilás, rosa, lima, azul, pêssego, menta, rosa claro) — não são as 6 neon.</t>
        </is>
      </c>
    </row>
    <row r="49">
      <c r="A49" s="27" t="inlineStr">
        <is>
          <t>5. Personalização (preço sempre sob orçamento)</t>
        </is>
      </c>
      <c r="B49" s="28" t="n"/>
      <c r="C49" s="28" t="n"/>
      <c r="D49" s="28" t="n"/>
      <c r="E49" s="28" t="n"/>
      <c r="F49" s="28" t="n"/>
    </row>
    <row r="50">
      <c r="A50" s="9" t="inlineStr">
        <is>
          <t>Técnica</t>
        </is>
      </c>
      <c r="B50" s="9" t="inlineStr">
        <is>
          <t>Detalhe</t>
        </is>
      </c>
      <c r="C50" s="9" t="inlineStr">
        <is>
          <t>Mínimo</t>
        </is>
      </c>
    </row>
    <row r="51">
      <c r="A51" s="10" t="inlineStr">
        <is>
          <t>Silk</t>
        </is>
      </c>
      <c r="B51" s="10" t="inlineStr">
        <is>
          <t>Frente/costas — tipo de tinta não detalhado nesta página</t>
        </is>
      </c>
      <c r="C51" s="10" t="inlineStr">
        <is>
          <t>20 pç</t>
        </is>
      </c>
    </row>
    <row r="52">
      <c r="A52" s="10" t="inlineStr">
        <is>
          <t>DTF</t>
        </is>
      </c>
      <c r="B52" s="10" t="inlineStr">
        <is>
          <t>Full color</t>
        </is>
      </c>
      <c r="C52" s="10" t="inlineStr">
        <is>
          <t>20 pç</t>
        </is>
      </c>
    </row>
    <row r="53">
      <c r="A53" s="10" t="inlineStr">
        <is>
          <t>Bordado</t>
        </is>
      </c>
      <c r="B53" s="10" t="inlineStr">
        <is>
          <t>Peito, mangas</t>
        </is>
      </c>
      <c r="C53" s="10" t="inlineStr">
        <is>
          <t>20 pç</t>
        </is>
      </c>
    </row>
    <row r="54">
      <c r="A54" s="10" t="inlineStr">
        <is>
          <t>Etiqueta private label</t>
        </is>
      </c>
      <c r="B54" s="10" t="inlineStr">
        <is>
          <t>Interna + tag</t>
        </is>
      </c>
      <c r="C54" s="10" t="inlineStr">
        <is>
          <t>20 pç</t>
        </is>
      </c>
    </row>
    <row r="56">
      <c r="A56" s="27" t="inlineStr">
        <is>
          <t>6. Preços do fornecedor (desconto progressivo)</t>
        </is>
      </c>
      <c r="B56" s="28" t="n"/>
      <c r="C56" s="28" t="n"/>
      <c r="D56" s="28" t="n"/>
      <c r="E56" s="28" t="n"/>
      <c r="F56" s="28" t="n"/>
    </row>
    <row r="57">
      <c r="A57" s="24" t="inlineStr">
        <is>
          <t>Preço base (R$)</t>
        </is>
      </c>
      <c r="B57" s="31" t="n">
        <v>37.26</v>
      </c>
    </row>
    <row r="58">
      <c r="A58" s="17" t="inlineStr">
        <is>
          <t>Faixa</t>
        </is>
      </c>
      <c r="B58" s="17" t="inlineStr">
        <is>
          <t>Peças</t>
        </is>
      </c>
      <c r="C58" s="17" t="inlineStr">
        <is>
          <t>Desconto</t>
        </is>
      </c>
      <c r="D58" s="17" t="inlineStr">
        <is>
          <t>Preço unitário</t>
        </is>
      </c>
      <c r="E58" s="17" t="inlineStr">
        <is>
          <t>Preço + Pix</t>
        </is>
      </c>
    </row>
    <row r="59">
      <c r="A59" s="18" t="inlineStr">
        <is>
          <t>Faixa 1</t>
        </is>
      </c>
      <c r="B59" s="18" t="inlineStr">
        <is>
          <t>20–40</t>
        </is>
      </c>
      <c r="C59" s="32">
        <f>'Regras Fornecedor'!$D$4</f>
        <v/>
      </c>
      <c r="D59" s="33">
        <f>ROUND($B$57*(1-C59),2)</f>
        <v/>
      </c>
      <c r="E59" s="34">
        <f>ROUND(D59*(1-'Regras Fornecedor'!$B$10),2)</f>
        <v/>
      </c>
    </row>
    <row r="60">
      <c r="A60" s="18" t="inlineStr">
        <is>
          <t>Faixa 2</t>
        </is>
      </c>
      <c r="B60" s="18" t="inlineStr">
        <is>
          <t>40–80</t>
        </is>
      </c>
      <c r="C60" s="32">
        <f>'Regras Fornecedor'!$D$5</f>
        <v/>
      </c>
      <c r="D60" s="33">
        <f>ROUND($B$57*(1-C60),2)</f>
        <v/>
      </c>
      <c r="E60" s="34">
        <f>ROUND(D60*(1-'Regras Fornecedor'!$B$10),2)</f>
        <v/>
      </c>
    </row>
    <row r="61">
      <c r="A61" s="18" t="inlineStr">
        <is>
          <t>Faixa 3</t>
        </is>
      </c>
      <c r="B61" s="18" t="inlineStr">
        <is>
          <t>80–100</t>
        </is>
      </c>
      <c r="C61" s="32">
        <f>'Regras Fornecedor'!$D$6</f>
        <v/>
      </c>
      <c r="D61" s="33">
        <f>ROUND($B$57*(1-C61),2)</f>
        <v/>
      </c>
      <c r="E61" s="34">
        <f>ROUND(D61*(1-'Regras Fornecedor'!$B$10),2)</f>
        <v/>
      </c>
    </row>
    <row r="62">
      <c r="A62" s="18" t="inlineStr">
        <is>
          <t>Faixa 4</t>
        </is>
      </c>
      <c r="B62" s="18" t="inlineStr">
        <is>
          <t>100–300</t>
        </is>
      </c>
      <c r="C62" s="32">
        <f>'Regras Fornecedor'!$D$7</f>
        <v/>
      </c>
      <c r="D62" s="33">
        <f>ROUND($B$57*(1-C62),2)</f>
        <v/>
      </c>
      <c r="E62" s="34">
        <f>ROUND(D62*(1-'Regras Fornecedor'!$B$10),2)</f>
        <v/>
      </c>
    </row>
    <row r="63">
      <c r="A63" s="18" t="inlineStr">
        <is>
          <t>Faixa 5</t>
        </is>
      </c>
      <c r="B63" s="18" t="inlineStr">
        <is>
          <t>300–999</t>
        </is>
      </c>
      <c r="C63" s="32">
        <f>'Regras Fornecedor'!$D$8</f>
        <v/>
      </c>
      <c r="D63" s="33">
        <f>ROUND($B$57*(1-C63),2)</f>
        <v/>
      </c>
      <c r="E63" s="34">
        <f>ROUND(D63*(1-'Regras Fornecedor'!$B$10),2)</f>
        <v/>
      </c>
    </row>
    <row r="65">
      <c r="A65" s="27" t="inlineStr">
        <is>
          <t>7. Custo HMZT e margem (lote de 20 peças, Pix)</t>
        </is>
      </c>
      <c r="B65" s="28" t="n"/>
      <c r="C65" s="28" t="n"/>
      <c r="D65" s="28" t="n"/>
      <c r="E65" s="28" t="n"/>
      <c r="F65" s="28" t="n"/>
    </row>
    <row r="66">
      <c r="A66" s="24" t="inlineStr">
        <is>
          <t>Peça (20 pç, Pix)</t>
        </is>
      </c>
      <c r="B66" s="35">
        <f>E59</f>
        <v/>
      </c>
    </row>
    <row r="67">
      <c r="A67" s="24" t="inlineStr">
        <is>
          <t>Personalização + etiqueta + tag (R$/pç)</t>
        </is>
      </c>
      <c r="B67" s="36" t="n">
        <v>9</v>
      </c>
      <c r="C67" s="15" t="inlineStr">
        <is>
          <t>Estimativa HMZT — trocar pelo orçamento real</t>
        </is>
      </c>
    </row>
    <row r="68">
      <c r="A68" s="24" t="inlineStr">
        <is>
          <t>Frete rateado + embalagem (R$/pç)</t>
        </is>
      </c>
      <c r="B68" s="36" t="n">
        <v>4</v>
      </c>
      <c r="C68" s="15" t="inlineStr">
        <is>
          <t>Estimativa HMZT — trocar pelo orçamento real</t>
        </is>
      </c>
    </row>
    <row r="69">
      <c r="A69" s="24" t="inlineStr">
        <is>
          <t>Custo unitário estimado</t>
        </is>
      </c>
      <c r="B69" s="37">
        <f>SUM(B66:B68)</f>
        <v/>
      </c>
    </row>
    <row r="70">
      <c r="A70" s="24" t="inlineStr">
        <is>
          <t>Preço de venda HMZT (R$)</t>
        </is>
      </c>
      <c r="B70" s="36" t="n">
        <v>109</v>
      </c>
      <c r="C70" s="15" t="inlineStr">
        <is>
          <t>Sugestão do dossiê — ajustar</t>
        </is>
      </c>
    </row>
    <row r="71">
      <c r="A71" s="24" t="inlineStr">
        <is>
          <t>Impostos + gateway (% do preço)</t>
        </is>
      </c>
      <c r="B71" s="38" t="n">
        <v>0</v>
      </c>
      <c r="C71" s="15" t="inlineStr">
        <is>
          <t>A preencher (Simples + taxa Asaas)</t>
        </is>
      </c>
    </row>
    <row r="72">
      <c r="A72" s="24" t="inlineStr">
        <is>
          <t>Margem bruta (R$)</t>
        </is>
      </c>
      <c r="B72" s="35">
        <f>B70-B69</f>
        <v/>
      </c>
    </row>
    <row r="73">
      <c r="A73" s="24" t="inlineStr">
        <is>
          <t>Margem bruta (%)</t>
        </is>
      </c>
      <c r="B73" s="39">
        <f>IF(B70=0,0,(B70-B69)/B70)</f>
        <v/>
      </c>
    </row>
    <row r="74">
      <c r="A74" s="24" t="inlineStr">
        <is>
          <t>Margem após impostos/gateway (%)</t>
        </is>
      </c>
      <c r="B74" s="39">
        <f>IF(B70=0,0,(B70*(1-B71)-B69)/B70)</f>
        <v/>
      </c>
      <c r="C74" s="15" t="inlineStr">
        <is>
          <t>Ainda sem frete ao cliente e mídia</t>
        </is>
      </c>
    </row>
    <row r="76">
      <c r="A76" s="27" t="inlineStr">
        <is>
          <t>8. Contradições e erros ⚠️</t>
        </is>
      </c>
      <c r="B76" s="28" t="n"/>
      <c r="C76" s="28" t="n"/>
      <c r="D76" s="28" t="n"/>
      <c r="E76" s="28" t="n"/>
      <c r="F76" s="28" t="n"/>
    </row>
    <row r="77">
      <c r="A77" s="8" t="inlineStr">
        <is>
          <t>⚠️ Neon + algodão: corante fluorescente em algodão tem solidez à luz baixa — desbota com sol e lavagem mais rápido que cor comum. O próprio FAQ recomenda "lavar do avesso em água fria para prolongar a intensidade", o que contradiz "vibração estável".</t>
        </is>
      </c>
    </row>
    <row r="78">
      <c r="A78" s="8" t="inlineStr">
        <is>
          <t>⚠️ Efeito estonado quase invisível: nas fotos o neon parece liso/mesclado; o desgaste nas costuras quase não aparece. O argumento "visual vintage" fica fraco nestas cores.</t>
        </is>
      </c>
    </row>
    <row r="79">
      <c r="A79" s="8" t="inlineStr">
        <is>
          <t>⚠️ Banner #13 ("Camisetas Estonadas"): mostra pilha de camisetas em tons pastel (lilás, rosa, lima, azul, pêssego, menta, rosa claro), não as 6 neon.</t>
        </is>
      </c>
    </row>
    <row r="80">
      <c r="A80" s="8" t="inlineStr">
        <is>
          <t>⚠️ Banner #10: "Malha beneficiada 180GSM" × 175 g/m² no texto; "Não desbota" numa peça estonada.</t>
        </is>
      </c>
    </row>
    <row r="81">
      <c r="A81" s="8" t="inlineStr">
        <is>
          <t>⚠️ Modelo: texto diz 1,79 m / 82 kg; é o mesmo modelo das fotos do P14 (1,84 m / 84 kg).</t>
        </is>
      </c>
    </row>
    <row r="82">
      <c r="A82" s="8" t="inlineStr">
        <is>
          <t>⚠️ Referência: "ESTON#NEON/24" é código interno, não EAN.</t>
        </is>
      </c>
    </row>
    <row r="83">
      <c r="A83" s="8" t="inlineStr">
        <is>
          <t>⚠️ "Estonada clássica": o FAQ diz que a clássica tem preto, marinho, bege e cinza — ignora a cartela do P13 (verde, índigo, azul celeste…).</t>
        </is>
      </c>
    </row>
    <row r="85">
      <c r="A85" s="27" t="inlineStr">
        <is>
          <t>9. Comunicação HMZT</t>
        </is>
      </c>
      <c r="B85" s="28" t="n"/>
      <c r="C85" s="28" t="n"/>
      <c r="D85" s="28" t="n"/>
      <c r="E85" s="28" t="n"/>
      <c r="F85" s="28" t="n"/>
    </row>
    <row r="86">
      <c r="A86" s="24" t="inlineStr">
        <is>
          <t>✅ Pode usar</t>
        </is>
      </c>
      <c r="D86" s="24" t="inlineStr">
        <is>
          <t>📣 / ⛔ Não usar</t>
        </is>
      </c>
    </row>
    <row r="87">
      <c r="A87" s="40" t="inlineStr">
        <is>
          <t>"100% algodão penteado, fio 30/1"</t>
        </is>
      </c>
      <c r="D87" s="8" t="inlineStr">
        <is>
          <t>"Ticket médio 25–40% acima do básico liso" / "+35% vs liso"</t>
        </is>
      </c>
    </row>
    <row r="88">
      <c r="A88" s="40" t="inlineStr">
        <is>
          <t>"Lavada com pedras depois de costurada: cada peça tem tom e desgaste levemente diferentes" (é o processo físico — dizer como característica, não como "defeito" nem "exclusividade")</t>
        </is>
      </c>
      <c r="D88" s="8" t="inlineStr">
        <is>
          <t>"Exclusividade real que justifica preço premium" / "a peça se diferencia sozinha"</t>
        </is>
      </c>
    </row>
    <row r="89">
      <c r="A89" s="40" t="inlineStr">
        <is>
          <t>"Gola canelada 2/1, costura ponto cadeia, reforço ombro a ombro, barra dupla"</t>
        </is>
      </c>
      <c r="D89" s="8" t="inlineStr">
        <is>
          <t>"Consistência que estonagens terceirizadas não alcançam"</t>
        </is>
      </c>
    </row>
    <row r="90">
      <c r="A90" s="40" t="inlineStr">
        <is>
          <t>"Pré-encolhida e com tratamento anti-torção"</t>
        </is>
      </c>
      <c r="D90" s="8" t="inlineStr">
        <is>
          <t>"Toque de camiseta lavada 50 vezes" / "nenhum amaciamento químico reproduz"</t>
        </is>
      </c>
    </row>
    <row r="91">
      <c r="A91" s="40" t="inlineStr">
        <is>
          <t>"Fabricada em Santa Catarina"</t>
        </is>
      </c>
      <c r="D91" s="8" t="inlineStr">
        <is>
          <t>"Não desbota" / "visual vintage permanente" (banner diz "Não desbota" numa peça que é desbotada de propósito)</t>
        </is>
      </c>
    </row>
    <row r="92">
      <c r="A92" s="40" t="inlineStr">
        <is>
          <t>"Cores neon" — sem prometer que não desbota</t>
        </is>
      </c>
      <c r="D92" s="8" t="inlineStr">
        <is>
          <t>"Sustenta recompra", "converte", "avaliação positiva desde a primeira vestida"</t>
        </is>
      </c>
    </row>
    <row r="93">
      <c r="D93" s="8" t="inlineStr">
        <is>
          <t>Selos genéricos da galeria ("100% Original")</t>
        </is>
      </c>
    </row>
    <row r="94">
      <c r="D94" s="8" t="inlineStr">
        <is>
          <t>"Vibração neon estável lavagem após lavagem"</t>
        </is>
      </c>
    </row>
    <row r="95">
      <c r="D95" s="8" t="inlineStr">
        <is>
          <t>"Gera mídia espontânea", "desejo instantâneo"</t>
        </is>
      </c>
    </row>
    <row r="97">
      <c r="A97" s="27" t="inlineStr">
        <is>
          <t>10. Pendências com o fornecedor</t>
        </is>
      </c>
      <c r="B97" s="28" t="n"/>
      <c r="C97" s="28" t="n"/>
      <c r="D97" s="28" t="n"/>
      <c r="E97" s="28" t="n"/>
      <c r="F97" s="28" t="n"/>
    </row>
    <row r="98">
      <c r="A98" s="9" t="inlineStr">
        <is>
          <t>Pendência</t>
        </is>
      </c>
      <c r="B98" s="9" t="inlineStr">
        <is>
          <t>Status</t>
        </is>
      </c>
      <c r="C98" s="9" t="inlineStr">
        <is>
          <t>Responsável</t>
        </is>
      </c>
      <c r="D98" s="9" t="inlineStr">
        <is>
          <t>Resposta</t>
        </is>
      </c>
    </row>
    <row r="99">
      <c r="A99" s="10" t="inlineStr">
        <is>
          <t>Solidez à luz/lavagem do neon</t>
        </is>
      </c>
      <c r="B99" s="11" t="inlineStr">
        <is>
          <t>Aberta</t>
        </is>
      </c>
      <c r="C99" s="11" t="inlineStr"/>
      <c r="D99" s="11" t="inlineStr"/>
    </row>
    <row r="100">
      <c r="A100" s="10" t="inlineStr">
        <is>
          <t>Existência das cores pastel do banner #13</t>
        </is>
      </c>
      <c r="B100" s="11" t="inlineStr">
        <is>
          <t>Aberta</t>
        </is>
      </c>
      <c r="C100" s="11" t="inlineStr"/>
      <c r="D100" s="11" t="inlineStr"/>
    </row>
    <row r="101">
      <c r="A101" s="10" t="inlineStr">
        <is>
          <t>Confirmar gramatura (175 g/m² × 180 GSM dos banners)</t>
        </is>
      </c>
      <c r="B101" s="11" t="inlineStr">
        <is>
          <t>Aberta</t>
        </is>
      </c>
      <c r="C101" s="11" t="inlineStr"/>
      <c r="D101" s="11" t="inlineStr"/>
    </row>
    <row r="102">
      <c r="A102" s="10" t="inlineStr">
        <is>
          <t>Orçamento de personalização (bordado pequeno, DTF, etiqueta, tag) e frete Itajaí → SP</t>
        </is>
      </c>
      <c r="B102" s="11" t="inlineStr">
        <is>
          <t>Aberta</t>
        </is>
      </c>
      <c r="C102" s="11" t="inlineStr"/>
      <c r="D102" s="11" t="inlineStr"/>
    </row>
    <row r="103">
      <c r="A103" s="10" t="inlineStr">
        <is>
          <t>Origem do algodão (não citada nesta página)</t>
        </is>
      </c>
      <c r="B103" s="11" t="inlineStr">
        <is>
          <t>Aberta</t>
        </is>
      </c>
      <c r="C103" s="11" t="inlineStr"/>
      <c r="D103" s="11" t="inlineStr"/>
    </row>
    <row r="104">
      <c r="A104" s="10" t="inlineStr">
        <is>
          <t>Tolerância de variação de tom entre lotes</t>
        </is>
      </c>
      <c r="B104" s="11" t="inlineStr">
        <is>
          <t>Aberta</t>
        </is>
      </c>
      <c r="C104" s="11" t="inlineStr"/>
      <c r="D104" s="11" t="inlineStr"/>
    </row>
    <row r="106">
      <c r="A106" s="27" t="inlineStr">
        <is>
          <t>11. Fluxo de prompts de lookbook (docs/shop-confeccao/prompts/P15-prompts.md)</t>
        </is>
      </c>
      <c r="B106" s="28" t="n"/>
      <c r="C106" s="28" t="n"/>
      <c r="D106" s="28" t="n"/>
      <c r="E106" s="28" t="n"/>
      <c r="F106" s="28" t="n"/>
    </row>
    <row r="107">
      <c r="A107" s="9" t="inlineStr">
        <is>
          <t>Foto</t>
        </is>
      </c>
      <c r="B107" s="9" t="inlineStr">
        <is>
          <t>Origem no print</t>
        </is>
      </c>
      <c r="C107" s="9" t="inlineStr">
        <is>
          <t>Formato</t>
        </is>
      </c>
      <c r="D107" s="9" t="inlineStr">
        <is>
          <t>Status</t>
        </is>
      </c>
    </row>
    <row r="108">
      <c r="A108" s="10" t="inlineStr">
        <is>
          <t>F1 — Frontal olhando a câmera</t>
        </is>
      </c>
      <c r="B108" s="10" t="inlineStr">
        <is>
          <t>Origem: foto #21 (azul neon)</t>
        </is>
      </c>
      <c r="C108" s="10" t="inlineStr">
        <is>
          <t>4:5</t>
        </is>
      </c>
      <c r="D108" s="11" t="inlineStr">
        <is>
          <t>A gerar</t>
        </is>
      </c>
    </row>
    <row r="109">
      <c r="A109" s="10" t="inlineStr">
        <is>
          <t>F2 — 3/4 mão no bolso</t>
        </is>
      </c>
      <c r="B109" s="10" t="inlineStr">
        <is>
          <t>Origem: fotos #1 (laranja neon) e #16 (amarelo neon)</t>
        </is>
      </c>
      <c r="C109" s="10" t="inlineStr">
        <is>
          <t>4:5</t>
        </is>
      </c>
      <c r="D109" s="11" t="inlineStr">
        <is>
          <t>A gerar</t>
        </is>
      </c>
    </row>
    <row r="110">
      <c r="A110" s="10" t="inlineStr">
        <is>
          <t>F3 — Frontal olhar lateral</t>
        </is>
      </c>
      <c r="B110" s="10" t="inlineStr">
        <is>
          <t>Origem: fotos #5 (laranja neon), #18 e #19 (azul neon)</t>
        </is>
      </c>
      <c r="C110" s="10" t="inlineStr">
        <is>
          <t>4:5</t>
        </is>
      </c>
      <c r="D110" s="11" t="inlineStr">
        <is>
          <t>A gerar</t>
        </is>
      </c>
    </row>
    <row r="111">
      <c r="A111" s="10" t="inlineStr">
        <is>
          <t>F4 — Mãos juntas à frente</t>
        </is>
      </c>
      <c r="B111" s="10" t="inlineStr">
        <is>
          <t>Origem: fotos #6 (verde neon), #14 (amarelo neon) e #20 (azul neon)</t>
        </is>
      </c>
      <c r="C111" s="10" t="inlineStr">
        <is>
          <t>4:5</t>
        </is>
      </c>
      <c r="D111" s="11" t="inlineStr">
        <is>
          <t>A gerar</t>
        </is>
      </c>
    </row>
    <row r="112">
      <c r="A112" s="10" t="inlineStr">
        <is>
          <t>F5 — Mãos puxando a barra</t>
        </is>
      </c>
      <c r="B112" s="10" t="inlineStr">
        <is>
          <t>Origem: fotos #8 (verde neon) e #12 (roxo neon)</t>
        </is>
      </c>
      <c r="C112" s="10" t="inlineStr">
        <is>
          <t>4:5</t>
        </is>
      </c>
      <c r="D112" s="11" t="inlineStr">
        <is>
          <t>A gerar</t>
        </is>
      </c>
    </row>
    <row r="113">
      <c r="A113" s="10" t="inlineStr">
        <is>
          <t>F6 — 3/4 mão cruzando na barra</t>
        </is>
      </c>
      <c r="B113" s="10" t="inlineStr">
        <is>
          <t>Origem: foto #9 (roxo neon)</t>
        </is>
      </c>
      <c r="C113" s="10" t="inlineStr">
        <is>
          <t>4:5</t>
        </is>
      </c>
      <c r="D113" s="11" t="inlineStr">
        <is>
          <t>A gerar</t>
        </is>
      </c>
    </row>
    <row r="114">
      <c r="A114" s="10" t="inlineStr">
        <is>
          <t>F7 — Cabeça baixa</t>
        </is>
      </c>
      <c r="B114" s="10" t="inlineStr">
        <is>
          <t>Origem: foto #11 (roxo neon)</t>
        </is>
      </c>
      <c r="C114" s="10" t="inlineStr">
        <is>
          <t>4:5</t>
        </is>
      </c>
      <c r="D114" s="11" t="inlineStr">
        <is>
          <t>A gerar</t>
        </is>
      </c>
    </row>
    <row r="115">
      <c r="A115" s="10" t="inlineStr">
        <is>
          <t>F8 — Perfil 3/4 com mão no bolso</t>
        </is>
      </c>
      <c r="B115" s="10" t="inlineStr">
        <is>
          <t>Origem: foto #17 (rosa neon)</t>
        </is>
      </c>
      <c r="C115" s="10" t="inlineStr">
        <is>
          <t>4:5</t>
        </is>
      </c>
      <c r="D115" s="11" t="inlineStr">
        <is>
          <t>A gerar</t>
        </is>
      </c>
    </row>
    <row r="116">
      <c r="A116" s="10" t="inlineStr">
        <is>
          <t>F9 — Detalhe puxando a gola</t>
        </is>
      </c>
      <c r="B116" s="10" t="inlineStr">
        <is>
          <t>Origem: foto #2 (laranja neon)</t>
        </is>
      </c>
      <c r="C116" s="10" t="inlineStr">
        <is>
          <t>4:5</t>
        </is>
      </c>
      <c r="D116" s="11" t="inlineStr">
        <is>
          <t>A gerar</t>
        </is>
      </c>
    </row>
    <row r="117">
      <c r="A117" s="10" t="inlineStr">
        <is>
          <t>F10 — Detalhe ombro e manga</t>
        </is>
      </c>
      <c r="B117" s="10" t="inlineStr">
        <is>
          <t>Origem: fotos #7 (verde neon) e #15 (amarelo neon)</t>
        </is>
      </c>
      <c r="C117" s="10" t="inlineStr">
        <is>
          <t>4:5</t>
        </is>
      </c>
      <c r="D117" s="11" t="inlineStr">
        <is>
          <t>A gerar</t>
        </is>
      </c>
    </row>
    <row r="118">
      <c r="A118" s="10" t="inlineStr">
        <is>
          <t>F11 — Mockup de personalização (versão HMZT)</t>
        </is>
      </c>
      <c r="B118" s="10" t="inlineStr">
        <is>
          <t>Origem: foto #3 (mockup do fornecedor com texto, outro modelo) — refeito liso; banners #4, #10 e #13 não viram shot</t>
        </is>
      </c>
      <c r="C118" s="10" t="inlineStr">
        <is>
          <t>4:5</t>
        </is>
      </c>
      <c r="D118" s="11" t="inlineStr">
        <is>
          <t>A gerar</t>
        </is>
      </c>
    </row>
  </sheetData>
  <mergeCells count="45">
    <mergeCell ref="B4:F4"/>
    <mergeCell ref="A90:C90"/>
    <mergeCell ref="B7:F7"/>
    <mergeCell ref="A80:F80"/>
    <mergeCell ref="A89:C89"/>
    <mergeCell ref="B15:E15"/>
    <mergeCell ref="B24:E24"/>
    <mergeCell ref="B20:E20"/>
    <mergeCell ref="D91:F91"/>
    <mergeCell ref="D87:F87"/>
    <mergeCell ref="B26:E26"/>
    <mergeCell ref="A47:F47"/>
    <mergeCell ref="A87:C87"/>
    <mergeCell ref="B11:F11"/>
    <mergeCell ref="D93:F93"/>
    <mergeCell ref="B16:E16"/>
    <mergeCell ref="B25:E25"/>
    <mergeCell ref="A91:C91"/>
    <mergeCell ref="B8:F8"/>
    <mergeCell ref="D92:F92"/>
    <mergeCell ref="B22:E22"/>
    <mergeCell ref="A81:F81"/>
    <mergeCell ref="B18:E18"/>
    <mergeCell ref="B27:E27"/>
    <mergeCell ref="D89:F89"/>
    <mergeCell ref="D94:F94"/>
    <mergeCell ref="B10:F10"/>
    <mergeCell ref="B21:E21"/>
    <mergeCell ref="D88:F88"/>
    <mergeCell ref="A83:F83"/>
    <mergeCell ref="A92:C92"/>
    <mergeCell ref="A77:F77"/>
    <mergeCell ref="B9:F9"/>
    <mergeCell ref="B17:E17"/>
    <mergeCell ref="B23:E23"/>
    <mergeCell ref="A82:F82"/>
    <mergeCell ref="D90:F90"/>
    <mergeCell ref="B6:F6"/>
    <mergeCell ref="A36:F36"/>
    <mergeCell ref="B5:F5"/>
    <mergeCell ref="A79:F79"/>
    <mergeCell ref="A88:C88"/>
    <mergeCell ref="B19:E19"/>
    <mergeCell ref="A78:F78"/>
    <mergeCell ref="D95:F9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2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P16 — Camiseta Estonada Oversized 175g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HMZT-P16-OVS-EST175</t>
        </is>
      </c>
    </row>
    <row r="5">
      <c r="A5" s="24" t="inlineStr">
        <is>
          <t>Fornecedor</t>
        </is>
      </c>
      <c r="B5" s="2" t="inlineStr">
        <is>
          <t>Lunfe Malhas — fabricação própria, Itajaí-SC</t>
        </is>
      </c>
    </row>
    <row r="6">
      <c r="A6" s="24" t="inlineStr">
        <is>
          <t>Referência</t>
        </is>
      </c>
      <c r="B6" s="2" t="inlineStr">
        <is>
          <t>código interno 30/1OVR/LF</t>
        </is>
      </c>
    </row>
    <row r="7">
      <c r="A7" s="24" t="inlineStr">
        <is>
          <t>URL</t>
        </is>
      </c>
      <c r="B7" s="2" t="inlineStr">
        <is>
          <t>lunfemalhas.com.br/camiseta-estonada-oversized-atacado-algodao-penteado-lunfe</t>
        </is>
      </c>
    </row>
    <row r="8">
      <c r="A8" s="24" t="inlineStr">
        <is>
          <t>Categoria no site</t>
        </is>
      </c>
      <c r="B8" s="2" t="inlineStr">
        <is>
          <t>Camisetas › Masculino › Oversized</t>
        </is>
      </c>
    </row>
    <row r="9">
      <c r="A9" s="24" t="inlineStr">
        <is>
          <t>Linha HMZT recomendada</t>
        </is>
      </c>
      <c r="B9" s="2" t="inlineStr">
        <is>
          <t>Lavada/Vintage (nova) — base oversized</t>
        </is>
      </c>
    </row>
    <row r="10">
      <c r="A10" s="24" t="inlineStr">
        <is>
          <t>Estoque</t>
        </is>
      </c>
      <c r="B10" s="2" t="inlineStr">
        <is>
          <t>Disponibilidade imediata (15 cores); widget de relacionados mostra "Esse acabou" — não confiável</t>
        </is>
      </c>
    </row>
    <row r="11">
      <c r="A11" s="24" t="inlineStr">
        <is>
          <t>Descritor canônico (IA)</t>
        </is>
      </c>
      <c r="B11" s="2" t="inlineStr">
        <is>
          <t>Camiseta masculina oversized, ombro caído, corpo amplo e alongado abaixo do quadril, mangas largas até acima do cotovelo, algodão penteado 175 g estonado: cor lavada irregular, mais clara nas costuras, gola canelada e barras; caimento mole com dobras verticais.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penteado</t>
        </is>
      </c>
      <c r="C15" s="29" t="n"/>
      <c r="D15" s="29" t="n"/>
      <c r="E15" s="30" t="n"/>
    </row>
    <row r="16">
      <c r="A16" s="10" t="inlineStr">
        <is>
          <t>Fio</t>
        </is>
      </c>
      <c r="B16" s="10" t="inlineStr">
        <is>
          <t>30/1 penteado</t>
        </is>
      </c>
      <c r="C16" s="29" t="n"/>
      <c r="D16" s="29" t="n"/>
      <c r="E16" s="30" t="n"/>
    </row>
    <row r="17">
      <c r="A17" s="10" t="inlineStr">
        <is>
          <t>Gramatura</t>
        </is>
      </c>
      <c r="B17" s="10" t="inlineStr">
        <is>
          <t>175 g/m² (texto) × 180 GSM (banner da galeria)</t>
        </is>
      </c>
      <c r="C17" s="29" t="n"/>
      <c r="D17" s="29" t="n"/>
      <c r="E17" s="30" t="n"/>
    </row>
    <row r="18">
      <c r="A18" s="10" t="inlineStr">
        <is>
          <t>Modelagem</t>
        </is>
      </c>
      <c r="B18" s="10" t="inlineStr">
        <is>
          <t>Oversized (ombro caído, corpo amplo e alongado)</t>
        </is>
      </c>
      <c r="C18" s="29" t="n"/>
      <c r="D18" s="29" t="n"/>
      <c r="E18" s="30" t="n"/>
    </row>
    <row r="19">
      <c r="A19" s="10" t="inlineStr">
        <is>
          <t>Acabamento</t>
        </is>
      </c>
      <c r="B19" s="10" t="inlineStr">
        <is>
          <t>Stone wash (lavagem com pedras-pomes) após a confecção + fixação pós-estonagem</t>
        </is>
      </c>
      <c r="C19" s="29" t="n"/>
      <c r="D19" s="29" t="n"/>
      <c r="E19" s="30" t="n"/>
    </row>
    <row r="20">
      <c r="A20" s="10" t="inlineStr">
        <is>
          <t>Gola</t>
        </is>
      </c>
      <c r="B20" s="10" t="inlineStr">
        <is>
          <t>Canelada 2/1, fecho em anel, reforço ombro a ombro</t>
        </is>
      </c>
      <c r="C20" s="29" t="n"/>
      <c r="D20" s="29" t="n"/>
      <c r="E20" s="30" t="n"/>
    </row>
    <row r="21">
      <c r="A21" s="10" t="inlineStr">
        <is>
          <t>Costuras</t>
        </is>
      </c>
      <c r="B21" s="10" t="inlineStr">
        <is>
          <t>Ponto cadeia; barra dupla em mangas e barra</t>
        </is>
      </c>
      <c r="C21" s="29" t="n"/>
      <c r="D21" s="29" t="n"/>
      <c r="E21" s="30" t="n"/>
    </row>
    <row r="22">
      <c r="A22" s="10" t="inlineStr">
        <is>
          <t>Tratamentos</t>
        </is>
      </c>
      <c r="B22" s="10" t="inlineStr">
        <is>
          <t>Pré-encolhimento, anti-torção, amaciamento</t>
        </is>
      </c>
      <c r="C22" s="29" t="n"/>
      <c r="D22" s="29" t="n"/>
      <c r="E22" s="30" t="n"/>
    </row>
    <row r="23">
      <c r="A23" s="10" t="inlineStr">
        <is>
          <t>Tamanhos</t>
        </is>
      </c>
      <c r="B23" s="10" t="inlineStr">
        <is>
          <t>P ao EG (5)</t>
        </is>
      </c>
      <c r="C23" s="29" t="n"/>
      <c r="D23" s="29" t="n"/>
      <c r="E23" s="30" t="n"/>
    </row>
    <row r="24">
      <c r="A24" s="10" t="inlineStr">
        <is>
          <t>Produção</t>
        </is>
      </c>
      <c r="B24" s="10" t="inlineStr">
        <is>
          <t>Fabricação própria Lunfe — Itajaí-SC</t>
        </is>
      </c>
      <c r="C24" s="29" t="n"/>
      <c r="D24" s="29" t="n"/>
      <c r="E24" s="30" t="n"/>
    </row>
    <row r="25">
      <c r="A25" s="10" t="inlineStr">
        <is>
          <t>Toque</t>
        </is>
      </c>
      <c r="B25" s="10" t="inlineStr">
        <is>
          <t>"Ultra macio, como camiseta lavada 50 vezes"</t>
        </is>
      </c>
      <c r="C25" s="29" t="n"/>
      <c r="D25" s="29" t="n"/>
      <c r="E25" s="30" t="n"/>
    </row>
    <row r="26">
      <c r="A26" s="10" t="inlineStr">
        <is>
          <t>Cor</t>
        </is>
      </c>
      <c r="B26" s="10" t="inlineStr">
        <is>
          <t>"Não progride nas lavagens domésticas"</t>
        </is>
      </c>
      <c r="C26" s="29" t="n"/>
      <c r="D26" s="29" t="n"/>
      <c r="E26" s="30" t="n"/>
    </row>
    <row r="28">
      <c r="A28" s="27" t="inlineStr">
        <is>
          <t>3. Tabela de medidas (cm)</t>
        </is>
      </c>
      <c r="B28" s="28" t="n"/>
      <c r="C28" s="28" t="n"/>
      <c r="D28" s="28" t="n"/>
      <c r="E28" s="28" t="n"/>
      <c r="F28" s="28" t="n"/>
    </row>
    <row r="29">
      <c r="A29" s="9" t="inlineStr">
        <is>
          <t>Tamanho</t>
        </is>
      </c>
      <c r="B29" s="9" t="inlineStr">
        <is>
          <t>Comprimento</t>
        </is>
      </c>
      <c r="C29" s="9" t="inlineStr">
        <is>
          <t>Largura</t>
        </is>
      </c>
      <c r="D29" s="9" t="inlineStr">
        <is>
          <t>Ombros</t>
        </is>
      </c>
      <c r="E29" s="9" t="inlineStr">
        <is>
          <t>Mangas</t>
        </is>
      </c>
    </row>
    <row r="30">
      <c r="A30" s="10" t="inlineStr">
        <is>
          <t>P</t>
        </is>
      </c>
      <c r="B30" s="11" t="n">
        <v>73</v>
      </c>
      <c r="C30" s="11" t="n">
        <v>57</v>
      </c>
      <c r="D30" s="11" t="n">
        <v>52</v>
      </c>
      <c r="E30" s="11" t="n">
        <v>24</v>
      </c>
    </row>
    <row r="31">
      <c r="A31" s="10" t="inlineStr">
        <is>
          <t>M</t>
        </is>
      </c>
      <c r="B31" s="11" t="n">
        <v>75</v>
      </c>
      <c r="C31" s="11" t="n">
        <v>59</v>
      </c>
      <c r="D31" s="11" t="n">
        <v>54</v>
      </c>
      <c r="E31" s="11" t="n">
        <v>25</v>
      </c>
    </row>
    <row r="32">
      <c r="A32" s="10" t="inlineStr">
        <is>
          <t>G</t>
        </is>
      </c>
      <c r="B32" s="11" t="n">
        <v>77</v>
      </c>
      <c r="C32" s="11" t="n">
        <v>61</v>
      </c>
      <c r="D32" s="11" t="n">
        <v>56</v>
      </c>
      <c r="E32" s="11" t="n">
        <v>26</v>
      </c>
    </row>
    <row r="33">
      <c r="A33" s="10" t="inlineStr">
        <is>
          <t>GG</t>
        </is>
      </c>
      <c r="B33" s="11" t="n">
        <v>79</v>
      </c>
      <c r="C33" s="11" t="n">
        <v>63</v>
      </c>
      <c r="D33" s="11" t="n">
        <v>58</v>
      </c>
      <c r="E33" s="11" t="n">
        <v>27</v>
      </c>
    </row>
    <row r="34">
      <c r="A34" s="10" t="inlineStr">
        <is>
          <t>EG</t>
        </is>
      </c>
      <c r="B34" s="11" t="n">
        <v>81</v>
      </c>
      <c r="C34" s="11" t="n">
        <v>65</v>
      </c>
      <c r="D34" s="11" t="n">
        <v>60</v>
      </c>
      <c r="E34" s="11" t="n">
        <v>28</v>
      </c>
    </row>
    <row r="35" ht="30" customHeight="1">
      <c r="A35" s="2" t="inlineStr">
        <is>
          <t>Tabela oversized própria (± 1–2 cm). Modelo 1,84 m / 84 kg veste M. ⚠️ Mangas crescem 1 cm por tamanho aqui e 2 cm no P17, embora o texto diga que a modelagem é a mesma.</t>
        </is>
      </c>
    </row>
    <row r="36">
      <c r="A36" s="15" t="inlineStr">
        <is>
          <t>Modelo das fotos: 1,84 m · 84 kg · veste M</t>
        </is>
      </c>
    </row>
    <row r="38">
      <c r="A38" s="27" t="inlineStr">
        <is>
          <t>4. Cores disponíveis</t>
        </is>
      </c>
      <c r="B38" s="28" t="n"/>
      <c r="C38" s="28" t="n"/>
      <c r="D38" s="28" t="n"/>
      <c r="E38" s="28" t="n"/>
      <c r="F38" s="28" t="n"/>
    </row>
    <row r="39">
      <c r="A39" s="9" t="inlineStr">
        <is>
          <t>Cor</t>
        </is>
      </c>
      <c r="B39" s="9" t="inlineStr">
        <is>
          <t>Código HMZT</t>
        </is>
      </c>
      <c r="C39" s="9" t="inlineStr">
        <is>
          <t>Ref. fornecedor</t>
        </is>
      </c>
      <c r="D39" s="9" t="inlineStr">
        <is>
          <t>Observação</t>
        </is>
      </c>
    </row>
    <row r="40">
      <c r="A40" s="10" t="inlineStr">
        <is>
          <t>Verde Musgo</t>
        </is>
      </c>
      <c r="B40" s="10" t="inlineStr">
        <is>
          <t>VMG</t>
        </is>
      </c>
      <c r="C40" s="10" t="inlineStr">
        <is>
          <t>n/i</t>
        </is>
      </c>
      <c r="D40" s="10" t="inlineStr">
        <is>
          <t>Foto #13</t>
        </is>
      </c>
    </row>
    <row r="41">
      <c r="A41" s="10" t="inlineStr">
        <is>
          <t>Chumbo</t>
        </is>
      </c>
      <c r="B41" s="10" t="inlineStr">
        <is>
          <t>CHU</t>
        </is>
      </c>
      <c r="C41" s="10" t="inlineStr">
        <is>
          <t>n/i</t>
        </is>
      </c>
      <c r="D41" s="10" t="inlineStr">
        <is>
          <t>Marrom-grafite (foto #14)</t>
        </is>
      </c>
    </row>
    <row r="42">
      <c r="A42" s="10" t="inlineStr">
        <is>
          <t>Azul Jeans</t>
        </is>
      </c>
      <c r="B42" s="10" t="inlineStr">
        <is>
          <t>AJN</t>
        </is>
      </c>
      <c r="C42" s="10" t="inlineStr">
        <is>
          <t>n/i</t>
        </is>
      </c>
      <c r="D42" s="10" t="inlineStr">
        <is>
          <t>Azul acinzentado (foto #17)</t>
        </is>
      </c>
    </row>
    <row r="43">
      <c r="A43" s="10" t="inlineStr">
        <is>
          <t>Cereja</t>
        </is>
      </c>
      <c r="B43" s="10" t="inlineStr">
        <is>
          <t>CRJ</t>
        </is>
      </c>
      <c r="C43" s="10" t="inlineStr">
        <is>
          <t>n/i</t>
        </is>
      </c>
      <c r="D43" s="10" t="inlineStr">
        <is>
          <t>Vermelho-framboesa (foto #16)</t>
        </is>
      </c>
    </row>
    <row r="44">
      <c r="A44" s="10" t="inlineStr">
        <is>
          <t>Castanho</t>
        </is>
      </c>
      <c r="B44" s="10" t="inlineStr">
        <is>
          <t>CST</t>
        </is>
      </c>
      <c r="C44" s="10" t="inlineStr">
        <is>
          <t>n/i</t>
        </is>
      </c>
      <c r="D44" s="10" t="inlineStr">
        <is>
          <t>Caramelo (foto #6)</t>
        </is>
      </c>
    </row>
    <row r="45">
      <c r="A45" s="10" t="inlineStr">
        <is>
          <t>Verde Neon</t>
        </is>
      </c>
      <c r="B45" s="10" t="inlineStr">
        <is>
          <t>VNN</t>
        </is>
      </c>
      <c r="C45" s="10" t="inlineStr">
        <is>
          <t>n/i</t>
        </is>
      </c>
      <c r="D45" s="10" t="inlineStr">
        <is>
          <t>Fotos #21–22</t>
        </is>
      </c>
    </row>
    <row r="46">
      <c r="A46" s="10" t="inlineStr">
        <is>
          <t>Rosa Neon</t>
        </is>
      </c>
      <c r="B46" s="10" t="inlineStr">
        <is>
          <t>RSN</t>
        </is>
      </c>
      <c r="C46" s="10" t="inlineStr">
        <is>
          <t>n/i</t>
        </is>
      </c>
      <c r="D46" s="10" t="inlineStr">
        <is>
          <t>Fotos #9, #11, #12</t>
        </is>
      </c>
    </row>
    <row r="47">
      <c r="A47" s="10" t="inlineStr">
        <is>
          <t>Rosa Claro</t>
        </is>
      </c>
      <c r="B47" s="10" t="inlineStr">
        <is>
          <t>RSC</t>
        </is>
      </c>
      <c r="C47" s="10" t="inlineStr">
        <is>
          <t>n/i</t>
        </is>
      </c>
      <c r="D47" s="10" t="inlineStr">
        <is>
          <t>Fotos #25–27</t>
        </is>
      </c>
    </row>
    <row r="48">
      <c r="A48" s="10" t="inlineStr">
        <is>
          <t>Cereja Escuro</t>
        </is>
      </c>
      <c r="B48" s="10" t="inlineStr">
        <is>
          <t>CRE</t>
        </is>
      </c>
      <c r="C48" s="10" t="inlineStr">
        <is>
          <t>n/i</t>
        </is>
      </c>
      <c r="D48" s="10" t="inlineStr">
        <is>
          <t>Vinho desbotado (fotos #8, #19)</t>
        </is>
      </c>
    </row>
    <row r="49">
      <c r="A49" s="10" t="inlineStr">
        <is>
          <t>Off White</t>
        </is>
      </c>
      <c r="B49" s="10" t="inlineStr">
        <is>
          <t>OFF</t>
        </is>
      </c>
      <c r="C49" s="10" t="inlineStr">
        <is>
          <t>n/i</t>
        </is>
      </c>
      <c r="D49" s="10" t="inlineStr">
        <is>
          <t>Foto #10 — quase sem efeito lavado</t>
        </is>
      </c>
    </row>
    <row r="50">
      <c r="A50" s="10" t="inlineStr">
        <is>
          <t>Laranja Neon</t>
        </is>
      </c>
      <c r="B50" s="10" t="inlineStr">
        <is>
          <t>LRN</t>
        </is>
      </c>
      <c r="C50" s="10" t="inlineStr">
        <is>
          <t>n/i</t>
        </is>
      </c>
      <c r="D50" s="10" t="inlineStr">
        <is>
          <t>Fotos #15, #18, #20</t>
        </is>
      </c>
    </row>
    <row r="51">
      <c r="A51" s="10" t="inlineStr">
        <is>
          <t>Azul Claro</t>
        </is>
      </c>
      <c r="B51" s="10" t="inlineStr">
        <is>
          <t>AZC</t>
        </is>
      </c>
      <c r="C51" s="10" t="inlineStr">
        <is>
          <t>n/i</t>
        </is>
      </c>
      <c r="D51" s="10" t="inlineStr">
        <is>
          <t>Azul-céu (fotos #1, #4, #5)</t>
        </is>
      </c>
    </row>
    <row r="52">
      <c r="A52" s="10" t="inlineStr">
        <is>
          <t>Azul Marinho</t>
        </is>
      </c>
      <c r="B52" s="10" t="inlineStr">
        <is>
          <t>MAR</t>
        </is>
      </c>
      <c r="C52" s="10" t="inlineStr">
        <is>
          <t>n/i</t>
        </is>
      </c>
      <c r="D52" s="10" t="inlineStr">
        <is>
          <t>Sem foto</t>
        </is>
      </c>
    </row>
    <row r="53">
      <c r="A53" s="10" t="inlineStr">
        <is>
          <t>Azul Royal</t>
        </is>
      </c>
      <c r="B53" s="10" t="inlineStr">
        <is>
          <t>ARY</t>
        </is>
      </c>
      <c r="C53" s="10" t="inlineStr">
        <is>
          <t>n/i</t>
        </is>
      </c>
      <c r="D53" s="10" t="inlineStr">
        <is>
          <t>Foto #2</t>
        </is>
      </c>
    </row>
    <row r="54">
      <c r="A54" s="10" t="inlineStr">
        <is>
          <t>Preto</t>
        </is>
      </c>
      <c r="B54" s="10" t="inlineStr">
        <is>
          <t>PRT</t>
        </is>
      </c>
      <c r="C54" s="10" t="inlineStr">
        <is>
          <t>n/i</t>
        </is>
      </c>
      <c r="D54" s="10" t="inlineStr">
        <is>
          <t>Sem foto (só no mockup #3, sem lavagem)</t>
        </is>
      </c>
    </row>
    <row r="55" ht="30" customHeight="1">
      <c r="A55" s="2" t="inlineStr">
        <is>
          <t>Seletor = texto (15 cores). Só "Verde Musgo" vem com o prefixo "Estonada -" no seletor. Preto e Azul Marinho não têm foto.</t>
        </is>
      </c>
    </row>
    <row r="57">
      <c r="A57" s="27" t="inlineStr">
        <is>
          <t>5. Personalização (preço sempre sob orçamento)</t>
        </is>
      </c>
      <c r="B57" s="28" t="n"/>
      <c r="C57" s="28" t="n"/>
      <c r="D57" s="28" t="n"/>
      <c r="E57" s="28" t="n"/>
      <c r="F57" s="28" t="n"/>
    </row>
    <row r="58">
      <c r="A58" s="9" t="inlineStr">
        <is>
          <t>Técnica</t>
        </is>
      </c>
      <c r="B58" s="9" t="inlineStr">
        <is>
          <t>Detalhe</t>
        </is>
      </c>
      <c r="C58" s="9" t="inlineStr">
        <is>
          <t>Mínimo</t>
        </is>
      </c>
    </row>
    <row r="59">
      <c r="A59" s="10" t="inlineStr">
        <is>
          <t>Silk</t>
        </is>
      </c>
      <c r="B59" s="10" t="inlineStr">
        <is>
          <t>Frente/costas — tipo de tinta não detalhado nesta página</t>
        </is>
      </c>
      <c r="C59" s="10" t="inlineStr">
        <is>
          <t>20 pç</t>
        </is>
      </c>
    </row>
    <row r="60">
      <c r="A60" s="10" t="inlineStr">
        <is>
          <t>DTF</t>
        </is>
      </c>
      <c r="B60" s="10" t="inlineStr">
        <is>
          <t>Full color</t>
        </is>
      </c>
      <c r="C60" s="10" t="inlineStr">
        <is>
          <t>20 pç</t>
        </is>
      </c>
    </row>
    <row r="61">
      <c r="A61" s="10" t="inlineStr">
        <is>
          <t>Bordado</t>
        </is>
      </c>
      <c r="B61" s="10" t="inlineStr">
        <is>
          <t>Peito, mangas</t>
        </is>
      </c>
      <c r="C61" s="10" t="inlineStr">
        <is>
          <t>20 pç</t>
        </is>
      </c>
    </row>
    <row r="62">
      <c r="A62" s="10" t="inlineStr">
        <is>
          <t>Etiqueta private label</t>
        </is>
      </c>
      <c r="B62" s="10" t="inlineStr">
        <is>
          <t>Interna + tag</t>
        </is>
      </c>
      <c r="C62" s="10" t="inlineStr">
        <is>
          <t>20 pç</t>
        </is>
      </c>
    </row>
    <row r="64">
      <c r="A64" s="27" t="inlineStr">
        <is>
          <t>6. Preços do fornecedor (desconto progressivo)</t>
        </is>
      </c>
      <c r="B64" s="28" t="n"/>
      <c r="C64" s="28" t="n"/>
      <c r="D64" s="28" t="n"/>
      <c r="E64" s="28" t="n"/>
      <c r="F64" s="28" t="n"/>
    </row>
    <row r="65">
      <c r="A65" s="24" t="inlineStr">
        <is>
          <t>Preço base (R$)</t>
        </is>
      </c>
      <c r="B65" s="31" t="n">
        <v>39.78</v>
      </c>
    </row>
    <row r="66">
      <c r="A66" s="17" t="inlineStr">
        <is>
          <t>Faixa</t>
        </is>
      </c>
      <c r="B66" s="17" t="inlineStr">
        <is>
          <t>Peças</t>
        </is>
      </c>
      <c r="C66" s="17" t="inlineStr">
        <is>
          <t>Desconto</t>
        </is>
      </c>
      <c r="D66" s="17" t="inlineStr">
        <is>
          <t>Preço unitário</t>
        </is>
      </c>
      <c r="E66" s="17" t="inlineStr">
        <is>
          <t>Preço + Pix</t>
        </is>
      </c>
    </row>
    <row r="67">
      <c r="A67" s="18" t="inlineStr">
        <is>
          <t>Faixa 1</t>
        </is>
      </c>
      <c r="B67" s="18" t="inlineStr">
        <is>
          <t>20–40</t>
        </is>
      </c>
      <c r="C67" s="32">
        <f>'Regras Fornecedor'!$D$4</f>
        <v/>
      </c>
      <c r="D67" s="33">
        <f>ROUND($B$65*(1-C67),2)</f>
        <v/>
      </c>
      <c r="E67" s="34">
        <f>ROUND(D67*(1-'Regras Fornecedor'!$B$10),2)</f>
        <v/>
      </c>
    </row>
    <row r="68">
      <c r="A68" s="18" t="inlineStr">
        <is>
          <t>Faixa 2</t>
        </is>
      </c>
      <c r="B68" s="18" t="inlineStr">
        <is>
          <t>40–80</t>
        </is>
      </c>
      <c r="C68" s="32">
        <f>'Regras Fornecedor'!$D$5</f>
        <v/>
      </c>
      <c r="D68" s="33">
        <f>ROUND($B$65*(1-C68),2)</f>
        <v/>
      </c>
      <c r="E68" s="34">
        <f>ROUND(D68*(1-'Regras Fornecedor'!$B$10),2)</f>
        <v/>
      </c>
    </row>
    <row r="69">
      <c r="A69" s="18" t="inlineStr">
        <is>
          <t>Faixa 3</t>
        </is>
      </c>
      <c r="B69" s="18" t="inlineStr">
        <is>
          <t>80–100</t>
        </is>
      </c>
      <c r="C69" s="32">
        <f>'Regras Fornecedor'!$D$6</f>
        <v/>
      </c>
      <c r="D69" s="33">
        <f>ROUND($B$65*(1-C69),2)</f>
        <v/>
      </c>
      <c r="E69" s="34">
        <f>ROUND(D69*(1-'Regras Fornecedor'!$B$10),2)</f>
        <v/>
      </c>
    </row>
    <row r="70">
      <c r="A70" s="18" t="inlineStr">
        <is>
          <t>Faixa 4</t>
        </is>
      </c>
      <c r="B70" s="18" t="inlineStr">
        <is>
          <t>100–300</t>
        </is>
      </c>
      <c r="C70" s="32">
        <f>'Regras Fornecedor'!$D$7</f>
        <v/>
      </c>
      <c r="D70" s="33">
        <f>ROUND($B$65*(1-C70),2)</f>
        <v/>
      </c>
      <c r="E70" s="34">
        <f>ROUND(D70*(1-'Regras Fornecedor'!$B$10),2)</f>
        <v/>
      </c>
    </row>
    <row r="71">
      <c r="A71" s="18" t="inlineStr">
        <is>
          <t>Faixa 5</t>
        </is>
      </c>
      <c r="B71" s="18" t="inlineStr">
        <is>
          <t>300–999</t>
        </is>
      </c>
      <c r="C71" s="32">
        <f>'Regras Fornecedor'!$D$8</f>
        <v/>
      </c>
      <c r="D71" s="33">
        <f>ROUND($B$65*(1-C71),2)</f>
        <v/>
      </c>
      <c r="E71" s="34">
        <f>ROUND(D71*(1-'Regras Fornecedor'!$B$10),2)</f>
        <v/>
      </c>
    </row>
    <row r="73">
      <c r="A73" s="27" t="inlineStr">
        <is>
          <t>7. Custo HMZT e margem (lote de 20 peças, Pix)</t>
        </is>
      </c>
      <c r="B73" s="28" t="n"/>
      <c r="C73" s="28" t="n"/>
      <c r="D73" s="28" t="n"/>
      <c r="E73" s="28" t="n"/>
      <c r="F73" s="28" t="n"/>
    </row>
    <row r="74">
      <c r="A74" s="24" t="inlineStr">
        <is>
          <t>Peça (20 pç, Pix)</t>
        </is>
      </c>
      <c r="B74" s="35">
        <f>E67</f>
        <v/>
      </c>
    </row>
    <row r="75">
      <c r="A75" s="24" t="inlineStr">
        <is>
          <t>Personalização + etiqueta + tag (R$/pç)</t>
        </is>
      </c>
      <c r="B75" s="36" t="n">
        <v>10</v>
      </c>
      <c r="C75" s="15" t="inlineStr">
        <is>
          <t>Estimativa HMZT — trocar pelo orçamento real</t>
        </is>
      </c>
    </row>
    <row r="76">
      <c r="A76" s="24" t="inlineStr">
        <is>
          <t>Frete rateado + embalagem (R$/pç)</t>
        </is>
      </c>
      <c r="B76" s="36" t="n">
        <v>4</v>
      </c>
      <c r="C76" s="15" t="inlineStr">
        <is>
          <t>Estimativa HMZT — trocar pelo orçamento real</t>
        </is>
      </c>
    </row>
    <row r="77">
      <c r="A77" s="24" t="inlineStr">
        <is>
          <t>Custo unitário estimado</t>
        </is>
      </c>
      <c r="B77" s="37">
        <f>SUM(B74:B76)</f>
        <v/>
      </c>
    </row>
    <row r="78">
      <c r="A78" s="24" t="inlineStr">
        <is>
          <t>Preço de venda HMZT (R$)</t>
        </is>
      </c>
      <c r="B78" s="36" t="n">
        <v>139</v>
      </c>
      <c r="C78" s="15" t="inlineStr">
        <is>
          <t>Sugestão do dossiê — ajustar</t>
        </is>
      </c>
    </row>
    <row r="79">
      <c r="A79" s="24" t="inlineStr">
        <is>
          <t>Impostos + gateway (% do preço)</t>
        </is>
      </c>
      <c r="B79" s="38" t="n">
        <v>0</v>
      </c>
      <c r="C79" s="15" t="inlineStr">
        <is>
          <t>A preencher (Simples + taxa Asaas)</t>
        </is>
      </c>
    </row>
    <row r="80">
      <c r="A80" s="24" t="inlineStr">
        <is>
          <t>Margem bruta (R$)</t>
        </is>
      </c>
      <c r="B80" s="35">
        <f>B78-B77</f>
        <v/>
      </c>
    </row>
    <row r="81">
      <c r="A81" s="24" t="inlineStr">
        <is>
          <t>Margem bruta (%)</t>
        </is>
      </c>
      <c r="B81" s="39">
        <f>IF(B78=0,0,(B78-B77)/B78)</f>
        <v/>
      </c>
    </row>
    <row r="82">
      <c r="A82" s="24" t="inlineStr">
        <is>
          <t>Margem após impostos/gateway (%)</t>
        </is>
      </c>
      <c r="B82" s="39">
        <f>IF(B78=0,0,(B78*(1-B79)-B77)/B78)</f>
        <v/>
      </c>
      <c r="C82" s="15" t="inlineStr">
        <is>
          <t>Ainda sem frete ao cliente e mídia</t>
        </is>
      </c>
    </row>
    <row r="84">
      <c r="A84" s="27" t="inlineStr">
        <is>
          <t>8. Contradições e erros ⚠️</t>
        </is>
      </c>
      <c r="B84" s="28" t="n"/>
      <c r="C84" s="28" t="n"/>
      <c r="D84" s="28" t="n"/>
      <c r="E84" s="28" t="n"/>
      <c r="F84" s="28" t="n"/>
    </row>
    <row r="85">
      <c r="A85" s="8" t="inlineStr">
        <is>
          <t>⚠️ Mangas × P17: o texto do P17 diz que a modelagem é idêntica, mas as mangas diferem (P16: 24–28 cm, +1 por tamanho; P17: 22–30 cm, +2 por tamanho).</t>
        </is>
      </c>
    </row>
    <row r="86">
      <c r="A86" s="8" t="inlineStr">
        <is>
          <t>⚠️ Gramatura: 175 g/m² no texto × "180GSM" no banner #23.</t>
        </is>
      </c>
    </row>
    <row r="87">
      <c r="A87" s="8" t="inlineStr">
        <is>
          <t>⚠️ Banners que não são deste produto: #3 (mockup em camiseta preta sem lavagem), #23 (camiseta branca sem lavagem, outro modelo, "Não desbota"). Iguais aos do P17.</t>
        </is>
      </c>
    </row>
    <row r="88">
      <c r="A88" s="8" t="inlineStr">
        <is>
          <t>⚠️ Preto e Azul Marinho estão na cartela mas não têm foto do produto real.</t>
        </is>
      </c>
    </row>
    <row r="89">
      <c r="A89" s="8" t="inlineStr">
        <is>
          <t>⚠️ "Estonada Regular tem corte justo ao corpo" (FAQ) — a tabela regular (M 54 cm de largura) é regular, não justa.</t>
        </is>
      </c>
    </row>
    <row r="90">
      <c r="A90" s="8" t="inlineStr">
        <is>
          <t>⚠️ Neon oversized: mesmo risco do P15 — cor fluorescente em algodão desbota com sol/lavagem.</t>
        </is>
      </c>
    </row>
    <row r="91">
      <c r="A91" s="8" t="inlineStr">
        <is>
          <t>⚠️ "Naturalmente unissex, reduz trocas por tamanho" 📣 — sem dado; a tabela é masculina.</t>
        </is>
      </c>
    </row>
    <row r="92">
      <c r="A92" s="8" t="inlineStr">
        <is>
          <t>⚠️ Relacionados: aparece um "Camiseta Oversized Estonada Lunfe" a R$ 90,00 e um "…pret" — cadastros antigos ou errados no site.</t>
        </is>
      </c>
    </row>
    <row r="93">
      <c r="A93" s="8" t="inlineStr">
        <is>
          <t>⚠️ Off white (foto #10) quase não mostra efeito lavado — é a cor com menos "vintage".</t>
        </is>
      </c>
    </row>
    <row r="95">
      <c r="A95" s="27" t="inlineStr">
        <is>
          <t>9. Comunicação HMZT</t>
        </is>
      </c>
      <c r="B95" s="28" t="n"/>
      <c r="C95" s="28" t="n"/>
      <c r="D95" s="28" t="n"/>
      <c r="E95" s="28" t="n"/>
      <c r="F95" s="28" t="n"/>
    </row>
    <row r="96">
      <c r="A96" s="24" t="inlineStr">
        <is>
          <t>✅ Pode usar</t>
        </is>
      </c>
      <c r="D96" s="24" t="inlineStr">
        <is>
          <t>📣 / ⛔ Não usar</t>
        </is>
      </c>
    </row>
    <row r="97">
      <c r="A97" s="40" t="inlineStr">
        <is>
          <t>"100% algodão penteado, fio 30/1"</t>
        </is>
      </c>
      <c r="D97" s="8" t="inlineStr">
        <is>
          <t>"Ticket médio 25–40% acima do básico liso" / "+35% vs liso"</t>
        </is>
      </c>
    </row>
    <row r="98">
      <c r="A98" s="40" t="inlineStr">
        <is>
          <t>"Lavada com pedras depois de costurada: cada peça tem tom e desgaste levemente diferentes" (é o processo físico — dizer como característica, não como "defeito" nem "exclusividade")</t>
        </is>
      </c>
      <c r="D98" s="8" t="inlineStr">
        <is>
          <t>"Exclusividade real que justifica preço premium" / "a peça se diferencia sozinha"</t>
        </is>
      </c>
    </row>
    <row r="99">
      <c r="A99" s="40" t="inlineStr">
        <is>
          <t>"Gola canelada 2/1, costura ponto cadeia, reforço ombro a ombro, barra dupla"</t>
        </is>
      </c>
      <c r="D99" s="8" t="inlineStr">
        <is>
          <t>"Consistência que estonagens terceirizadas não alcançam"</t>
        </is>
      </c>
    </row>
    <row r="100">
      <c r="A100" s="40" t="inlineStr">
        <is>
          <t>"Pré-encolhida e com tratamento anti-torção"</t>
        </is>
      </c>
      <c r="D100" s="8" t="inlineStr">
        <is>
          <t>"Toque de camiseta lavada 50 vezes" / "nenhum amaciamento químico reproduz"</t>
        </is>
      </c>
    </row>
    <row r="101">
      <c r="A101" s="40" t="inlineStr">
        <is>
          <t>"Fabricada em Santa Catarina"</t>
        </is>
      </c>
      <c r="D101" s="8" t="inlineStr">
        <is>
          <t>"Não desbota" / "visual vintage permanente" (banner diz "Não desbota" numa peça que é desbotada de propósito)</t>
        </is>
      </c>
    </row>
    <row r="102">
      <c r="A102" s="40" t="inlineStr">
        <is>
          <t>"Modelagem oversized com ombro caído" + tabela de medidas</t>
        </is>
      </c>
      <c r="D102" s="8" t="inlineStr">
        <is>
          <t>"Sustenta recompra", "converte", "avaliação positiva desde a primeira vestida"</t>
        </is>
      </c>
    </row>
    <row r="103">
      <c r="A103" s="40" t="inlineStr">
        <is>
          <t>"15 cores" (conferir antes de publicar)</t>
        </is>
      </c>
      <c r="D103" s="8" t="inlineStr">
        <is>
          <t>Selos genéricos da galeria ("100% Original")</t>
        </is>
      </c>
    </row>
    <row r="104">
      <c r="D104" s="8" t="inlineStr">
        <is>
          <t>"Carro-chefe do streetwear", "a maior paleta" como argumento de venda</t>
        </is>
      </c>
    </row>
    <row r="105">
      <c r="D105" s="8" t="inlineStr">
        <is>
          <t>"Unissex que reduz trocas"</t>
        </is>
      </c>
    </row>
    <row r="107">
      <c r="A107" s="27" t="inlineStr">
        <is>
          <t>10. Pendências com o fornecedor</t>
        </is>
      </c>
      <c r="B107" s="28" t="n"/>
      <c r="C107" s="28" t="n"/>
      <c r="D107" s="28" t="n"/>
      <c r="E107" s="28" t="n"/>
      <c r="F107" s="28" t="n"/>
    </row>
    <row r="108">
      <c r="A108" s="9" t="inlineStr">
        <is>
          <t>Pendência</t>
        </is>
      </c>
      <c r="B108" s="9" t="inlineStr">
        <is>
          <t>Status</t>
        </is>
      </c>
      <c r="C108" s="9" t="inlineStr">
        <is>
          <t>Responsável</t>
        </is>
      </c>
      <c r="D108" s="9" t="inlineStr">
        <is>
          <t>Resposta</t>
        </is>
      </c>
    </row>
    <row r="109">
      <c r="A109" s="10" t="inlineStr">
        <is>
          <t>Tabela de mangas × P17</t>
        </is>
      </c>
      <c r="B109" s="11" t="inlineStr">
        <is>
          <t>Aberta</t>
        </is>
      </c>
      <c r="C109" s="11" t="inlineStr"/>
      <c r="D109" s="11" t="inlineStr"/>
    </row>
    <row r="110">
      <c r="A110" s="10" t="inlineStr">
        <is>
          <t>Fotos de Preto e Azul Marinho</t>
        </is>
      </c>
      <c r="B110" s="11" t="inlineStr">
        <is>
          <t>Aberta</t>
        </is>
      </c>
      <c r="C110" s="11" t="inlineStr"/>
      <c r="D110" s="11" t="inlineStr"/>
    </row>
    <row r="111">
      <c r="A111" s="10" t="inlineStr">
        <is>
          <t>Confirmar gramatura (175 g/m² × 180 GSM dos banners)</t>
        </is>
      </c>
      <c r="B111" s="11" t="inlineStr">
        <is>
          <t>Aberta</t>
        </is>
      </c>
      <c r="C111" s="11" t="inlineStr"/>
      <c r="D111" s="11" t="inlineStr"/>
    </row>
    <row r="112">
      <c r="A112" s="10" t="inlineStr">
        <is>
          <t>Orçamento de personalização (bordado pequeno, DTF, etiqueta, tag) e frete Itajaí → SP</t>
        </is>
      </c>
      <c r="B112" s="11" t="inlineStr">
        <is>
          <t>Aberta</t>
        </is>
      </c>
      <c r="C112" s="11" t="inlineStr"/>
      <c r="D112" s="11" t="inlineStr"/>
    </row>
    <row r="113">
      <c r="A113" s="10" t="inlineStr">
        <is>
          <t>Origem do algodão (não citada nesta página)</t>
        </is>
      </c>
      <c r="B113" s="11" t="inlineStr">
        <is>
          <t>Aberta</t>
        </is>
      </c>
      <c r="C113" s="11" t="inlineStr"/>
      <c r="D113" s="11" t="inlineStr"/>
    </row>
    <row r="114">
      <c r="A114" s="10" t="inlineStr">
        <is>
          <t>Tolerância de variação de tom entre lotes</t>
        </is>
      </c>
      <c r="B114" s="11" t="inlineStr">
        <is>
          <t>Aberta</t>
        </is>
      </c>
      <c r="C114" s="11" t="inlineStr"/>
      <c r="D114" s="11" t="inlineStr"/>
    </row>
    <row r="116">
      <c r="A116" s="27" t="inlineStr">
        <is>
          <t>11. Fluxo de prompts de lookbook (docs/shop-confeccao/prompts/P16-prompts.md)</t>
        </is>
      </c>
      <c r="B116" s="28" t="n"/>
      <c r="C116" s="28" t="n"/>
      <c r="D116" s="28" t="n"/>
      <c r="E116" s="28" t="n"/>
      <c r="F116" s="28" t="n"/>
    </row>
    <row r="117">
      <c r="A117" s="9" t="inlineStr">
        <is>
          <t>Foto</t>
        </is>
      </c>
      <c r="B117" s="9" t="inlineStr">
        <is>
          <t>Origem no print</t>
        </is>
      </c>
      <c r="C117" s="9" t="inlineStr">
        <is>
          <t>Formato</t>
        </is>
      </c>
      <c r="D117" s="9" t="inlineStr">
        <is>
          <t>Status</t>
        </is>
      </c>
    </row>
    <row r="118">
      <c r="A118" s="10" t="inlineStr">
        <is>
          <t>F1 — Frontal mãos na barra</t>
        </is>
      </c>
      <c r="B118" s="10" t="inlineStr">
        <is>
          <t>Origem: fotos #1 (azul claro), #11 e #12 (rosa neon)</t>
        </is>
      </c>
      <c r="C118" s="10" t="inlineStr">
        <is>
          <t>4:5</t>
        </is>
      </c>
      <c r="D118" s="11" t="inlineStr">
        <is>
          <t>A gerar</t>
        </is>
      </c>
    </row>
    <row r="119">
      <c r="A119" s="10" t="inlineStr">
        <is>
          <t>F2 — 3/4 mão no bolso</t>
        </is>
      </c>
      <c r="B119" s="10" t="inlineStr">
        <is>
          <t>Origem: fotos #9 (rosa neon), #21 (verde neon) e #26 (rosa claro)</t>
        </is>
      </c>
      <c r="C119" s="10" t="inlineStr">
        <is>
          <t>4:5</t>
        </is>
      </c>
      <c r="D119" s="11" t="inlineStr">
        <is>
          <t>A gerar</t>
        </is>
      </c>
    </row>
    <row r="120">
      <c r="A120" s="10" t="inlineStr">
        <is>
          <t>F3 — Frontal olhar lateral, mão no bolso</t>
        </is>
      </c>
      <c r="B120" s="10" t="inlineStr">
        <is>
          <t>Origem: fotos #5 (azul claro) e #15 (laranja neon)</t>
        </is>
      </c>
      <c r="C120" s="10" t="inlineStr">
        <is>
          <t>4:5</t>
        </is>
      </c>
      <c r="D120" s="11" t="inlineStr">
        <is>
          <t>A gerar</t>
        </is>
      </c>
    </row>
    <row r="121">
      <c r="A121" s="10" t="inlineStr">
        <is>
          <t>F4 — Frontal braços soltos</t>
        </is>
      </c>
      <c r="B121" s="10" t="inlineStr">
        <is>
          <t>Origem: fotos #18 (laranja neon), #22 (verde neon), #25 (rosa claro); mesma pose nas #8, #14 e #17 (segundo modelo, cores terrosas)</t>
        </is>
      </c>
      <c r="C121" s="10" t="inlineStr">
        <is>
          <t>4:5</t>
        </is>
      </c>
      <c r="D121" s="11" t="inlineStr">
        <is>
          <t>A gerar</t>
        </is>
      </c>
    </row>
    <row r="122">
      <c r="A122" s="10" t="inlineStr">
        <is>
          <t>F5 — 3/4 olhar para baixo</t>
        </is>
      </c>
      <c r="B122" s="10" t="inlineStr">
        <is>
          <t>Origem: foto #20 (laranja neon)</t>
        </is>
      </c>
      <c r="C122" s="10" t="inlineStr">
        <is>
          <t>4:5</t>
        </is>
      </c>
      <c r="D122" s="11" t="inlineStr">
        <is>
          <t>A gerar</t>
        </is>
      </c>
    </row>
    <row r="123">
      <c r="A123" s="10" t="inlineStr">
        <is>
          <t>F6 — Detalhe gola e ombro caído</t>
        </is>
      </c>
      <c r="B123" s="10" t="inlineStr">
        <is>
          <t>Origem: fotos #4 (azul claro) e #27 (rosa claro)</t>
        </is>
      </c>
      <c r="C123" s="10" t="inlineStr">
        <is>
          <t>4:5</t>
        </is>
      </c>
      <c r="D123" s="11" t="inlineStr">
        <is>
          <t>A gerar</t>
        </is>
      </c>
    </row>
    <row r="124">
      <c r="A124" s="10" t="inlineStr">
        <is>
          <t>F7 — 3/4 olhando a câmera</t>
        </is>
      </c>
      <c r="B124" s="10" t="inlineStr">
        <is>
          <t>Origem: foto #2 (azul royal, segundo modelo)</t>
        </is>
      </c>
      <c r="C124" s="10" t="inlineStr">
        <is>
          <t>4:5</t>
        </is>
      </c>
      <c r="D124" s="11" t="inlineStr">
        <is>
          <t>A gerar</t>
        </is>
      </c>
    </row>
    <row r="125">
      <c r="A125" s="10" t="inlineStr">
        <is>
          <t>F8 — Mãos juntas à frente, olhar lateral</t>
        </is>
      </c>
      <c r="B125" s="10" t="inlineStr">
        <is>
          <t>Origem: foto #6 (castanho, segundo modelo)</t>
        </is>
      </c>
      <c r="C125" s="10" t="inlineStr">
        <is>
          <t>4:5</t>
        </is>
      </c>
      <c r="D125" s="11" t="inlineStr">
        <is>
          <t>A gerar</t>
        </is>
      </c>
    </row>
    <row r="126">
      <c r="A126" s="10" t="inlineStr">
        <is>
          <t>F9 — Caminhando, mão na barra</t>
        </is>
      </c>
      <c r="B126" s="10" t="inlineStr">
        <is>
          <t>Origem: foto #10 (off white, segundo modelo)</t>
        </is>
      </c>
      <c r="C126" s="10" t="inlineStr">
        <is>
          <t>4:5</t>
        </is>
      </c>
      <c r="D126" s="11" t="inlineStr">
        <is>
          <t>A gerar</t>
        </is>
      </c>
    </row>
    <row r="127">
      <c r="A127" s="10" t="inlineStr">
        <is>
          <t>F10 — 3/4 olhar para cima</t>
        </is>
      </c>
      <c r="B127" s="10" t="inlineStr">
        <is>
          <t>Origem: foto #13 (verde musgo, segundo modelo)</t>
        </is>
      </c>
      <c r="C127" s="10" t="inlineStr">
        <is>
          <t>4:5</t>
        </is>
      </c>
      <c r="D127" s="11" t="inlineStr">
        <is>
          <t>A gerar</t>
        </is>
      </c>
    </row>
    <row r="128">
      <c r="A128" s="10" t="inlineStr">
        <is>
          <t>F11 — Em movimento, braço cruzando</t>
        </is>
      </c>
      <c r="B128" s="10" t="inlineStr">
        <is>
          <t>Origem: fotos #16 (cereja) e #19 (cereja escuro), segundo modelo</t>
        </is>
      </c>
      <c r="C128" s="10" t="inlineStr">
        <is>
          <t>4:5</t>
        </is>
      </c>
      <c r="D128" s="11" t="inlineStr">
        <is>
          <t>A gerar</t>
        </is>
      </c>
    </row>
    <row r="129">
      <c r="A129" s="10" t="inlineStr">
        <is>
          <t>F12 — Mockup de personalização (versão HMZT)</t>
        </is>
      </c>
      <c r="B129" s="10" t="inlineStr">
        <is>
          <t>Origem: foto #3 (mockup do fornecedor com texto, camiseta preta sem lavagem) — refeito liso; banners #7, #23 e #24 não viram shot</t>
        </is>
      </c>
      <c r="C129" s="10" t="inlineStr">
        <is>
          <t>4:5</t>
        </is>
      </c>
      <c r="D129" s="11" t="inlineStr">
        <is>
          <t>A gerar</t>
        </is>
      </c>
    </row>
  </sheetData>
  <mergeCells count="47">
    <mergeCell ref="B4:F4"/>
    <mergeCell ref="A99:C99"/>
    <mergeCell ref="D104:F104"/>
    <mergeCell ref="B7:F7"/>
    <mergeCell ref="A90:F90"/>
    <mergeCell ref="A89:F89"/>
    <mergeCell ref="B15:E15"/>
    <mergeCell ref="D97:F97"/>
    <mergeCell ref="A101:C101"/>
    <mergeCell ref="B24:E24"/>
    <mergeCell ref="B20:E20"/>
    <mergeCell ref="A55:F55"/>
    <mergeCell ref="A86:F86"/>
    <mergeCell ref="D103:F103"/>
    <mergeCell ref="B26:E26"/>
    <mergeCell ref="A85:F85"/>
    <mergeCell ref="D102:F102"/>
    <mergeCell ref="B11:F11"/>
    <mergeCell ref="B16:E16"/>
    <mergeCell ref="A97:C97"/>
    <mergeCell ref="B25:E25"/>
    <mergeCell ref="A100:C100"/>
    <mergeCell ref="A35:F35"/>
    <mergeCell ref="B8:F8"/>
    <mergeCell ref="A91:F91"/>
    <mergeCell ref="B22:E22"/>
    <mergeCell ref="B18:E18"/>
    <mergeCell ref="D98:F98"/>
    <mergeCell ref="A93:F93"/>
    <mergeCell ref="A102:C102"/>
    <mergeCell ref="B10:F10"/>
    <mergeCell ref="B21:E21"/>
    <mergeCell ref="A92:F92"/>
    <mergeCell ref="D100:F100"/>
    <mergeCell ref="B9:F9"/>
    <mergeCell ref="B17:E17"/>
    <mergeCell ref="B23:E23"/>
    <mergeCell ref="A98:C98"/>
    <mergeCell ref="D99:F99"/>
    <mergeCell ref="B6:F6"/>
    <mergeCell ref="A103:C103"/>
    <mergeCell ref="B5:F5"/>
    <mergeCell ref="A88:F88"/>
    <mergeCell ref="B19:E19"/>
    <mergeCell ref="D101:F101"/>
    <mergeCell ref="D105:F105"/>
    <mergeCell ref="A87:F8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P17 — Camiseta Estonada Oversized com Bolso 175g</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HMZT-P17-OVS-ESB175</t>
        </is>
      </c>
    </row>
    <row r="5">
      <c r="A5" s="24" t="inlineStr">
        <is>
          <t>Fornecedor</t>
        </is>
      </c>
      <c r="B5" s="2" t="inlineStr">
        <is>
          <t>Lunfe Malhas — fabricação própria, Itajaí-SC</t>
        </is>
      </c>
    </row>
    <row r="6">
      <c r="A6" s="24" t="inlineStr">
        <is>
          <t>Referência</t>
        </is>
      </c>
      <c r="B6" s="2" t="inlineStr">
        <is>
          <t>7896976920472</t>
        </is>
      </c>
    </row>
    <row r="7">
      <c r="A7" s="24" t="inlineStr">
        <is>
          <t>URL</t>
        </is>
      </c>
      <c r="B7" s="2" t="inlineStr">
        <is>
          <t>lunfemalhas.com.br/camiseta-estonada-oversized-bolso-atacado-algodao-penteado-lunfe</t>
        </is>
      </c>
    </row>
    <row r="8">
      <c r="A8" s="24" t="inlineStr">
        <is>
          <t>Categoria no site</t>
        </is>
      </c>
      <c r="B8" s="2" t="inlineStr">
        <is>
          <t>Camisetas › Masculino › Oversized</t>
        </is>
      </c>
    </row>
    <row r="9">
      <c r="A9" s="24" t="inlineStr">
        <is>
          <t>Linha HMZT recomendada</t>
        </is>
      </c>
      <c r="B9" s="2" t="inlineStr">
        <is>
          <t>Lavada/Vintage — destaque oversized com bolso (após reposição)</t>
        </is>
      </c>
    </row>
    <row r="10">
      <c r="A10" s="24" t="inlineStr">
        <is>
          <t>Estoque</t>
        </is>
      </c>
      <c r="B10" s="8" t="inlineStr">
        <is>
          <t>🔴 "Esse acabou" na própria página (sem seletor, sem preço no topo, sem "Disponibilidade")</t>
        </is>
      </c>
    </row>
    <row r="11">
      <c r="A11" s="24" t="inlineStr">
        <is>
          <t>Descritor canônico (IA)</t>
        </is>
      </c>
      <c r="B11" s="2" t="inlineStr">
        <is>
          <t>Camiseta masculina oversized com bolso quadrado no peito esquerdo, ombro caído, corpo amplo abaixo do quadril, algodão penteado 175 g estonado: cor lavada irregular, mais clara nas costuras, na borda do bolso, na gola canelada e nas barras.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100% algodão penteado</t>
        </is>
      </c>
      <c r="C15" s="29" t="n"/>
      <c r="D15" s="29" t="n"/>
      <c r="E15" s="30" t="n"/>
    </row>
    <row r="16">
      <c r="A16" s="10" t="inlineStr">
        <is>
          <t>Fio</t>
        </is>
      </c>
      <c r="B16" s="10" t="inlineStr">
        <is>
          <t>30/1 penteado</t>
        </is>
      </c>
      <c r="C16" s="29" t="n"/>
      <c r="D16" s="29" t="n"/>
      <c r="E16" s="30" t="n"/>
    </row>
    <row r="17">
      <c r="A17" s="10" t="inlineStr">
        <is>
          <t>Gramatura</t>
        </is>
      </c>
      <c r="B17" s="10" t="inlineStr">
        <is>
          <t>175 g/m² (texto) × 180 GSM (banner da galeria)</t>
        </is>
      </c>
      <c r="C17" s="29" t="n"/>
      <c r="D17" s="29" t="n"/>
      <c r="E17" s="30" t="n"/>
    </row>
    <row r="18">
      <c r="A18" s="10" t="inlineStr">
        <is>
          <t>Modelagem</t>
        </is>
      </c>
      <c r="B18" s="10" t="inlineStr">
        <is>
          <t>Oversized com bolso no peito</t>
        </is>
      </c>
      <c r="C18" s="29" t="n"/>
      <c r="D18" s="29" t="n"/>
      <c r="E18" s="30" t="n"/>
    </row>
    <row r="19">
      <c r="A19" s="10" t="inlineStr">
        <is>
          <t>Detalhe</t>
        </is>
      </c>
      <c r="B19" s="10" t="inlineStr">
        <is>
          <t>Bolso frontal no peito, aplicado antes da lavagem</t>
        </is>
      </c>
      <c r="C19" s="29" t="n"/>
      <c r="D19" s="29" t="n"/>
      <c r="E19" s="30" t="n"/>
    </row>
    <row r="20">
      <c r="A20" s="10" t="inlineStr">
        <is>
          <t>Acabamento</t>
        </is>
      </c>
      <c r="B20" s="10" t="inlineStr">
        <is>
          <t>Stone wash (lavagem com pedras-pomes) após a confecção + fixação pós-estonagem</t>
        </is>
      </c>
      <c r="C20" s="29" t="n"/>
      <c r="D20" s="29" t="n"/>
      <c r="E20" s="30" t="n"/>
    </row>
    <row r="21">
      <c r="A21" s="10" t="inlineStr">
        <is>
          <t>Gola</t>
        </is>
      </c>
      <c r="B21" s="10" t="inlineStr">
        <is>
          <t>Canelada 2/1, fecho em anel, reforço ombro a ombro</t>
        </is>
      </c>
      <c r="C21" s="29" t="n"/>
      <c r="D21" s="29" t="n"/>
      <c r="E21" s="30" t="n"/>
    </row>
    <row r="22">
      <c r="A22" s="10" t="inlineStr">
        <is>
          <t>Costuras</t>
        </is>
      </c>
      <c r="B22" s="10" t="inlineStr">
        <is>
          <t>Ponto cadeia; barra dupla em mangas e barra</t>
        </is>
      </c>
      <c r="C22" s="29" t="n"/>
      <c r="D22" s="29" t="n"/>
      <c r="E22" s="30" t="n"/>
    </row>
    <row r="23">
      <c r="A23" s="10" t="inlineStr">
        <is>
          <t>Tratamentos</t>
        </is>
      </c>
      <c r="B23" s="10" t="inlineStr">
        <is>
          <t>Pré-encolhimento, anti-torção, amaciamento</t>
        </is>
      </c>
      <c r="C23" s="29" t="n"/>
      <c r="D23" s="29" t="n"/>
      <c r="E23" s="30" t="n"/>
    </row>
    <row r="24">
      <c r="A24" s="10" t="inlineStr">
        <is>
          <t>Tamanhos</t>
        </is>
      </c>
      <c r="B24" s="10" t="inlineStr">
        <is>
          <t>P ao EG (5)</t>
        </is>
      </c>
      <c r="C24" s="29" t="n"/>
      <c r="D24" s="29" t="n"/>
      <c r="E24" s="30" t="n"/>
    </row>
    <row r="25">
      <c r="A25" s="10" t="inlineStr">
        <is>
          <t>Produção</t>
        </is>
      </c>
      <c r="B25" s="10" t="inlineStr">
        <is>
          <t>Fabricação própria Lunfe — Itajaí-SC</t>
        </is>
      </c>
      <c r="C25" s="29" t="n"/>
      <c r="D25" s="29" t="n"/>
      <c r="E25" s="30" t="n"/>
    </row>
    <row r="26">
      <c r="A26" s="10" t="inlineStr">
        <is>
          <t>Toque</t>
        </is>
      </c>
      <c r="B26" s="10" t="inlineStr">
        <is>
          <t>"Ultra macio, como camiseta lavada 50 vezes"</t>
        </is>
      </c>
      <c r="C26" s="29" t="n"/>
      <c r="D26" s="29" t="n"/>
      <c r="E26" s="30" t="n"/>
    </row>
    <row r="27">
      <c r="A27" s="10" t="inlineStr">
        <is>
          <t>Cor</t>
        </is>
      </c>
      <c r="B27" s="10" t="inlineStr">
        <is>
          <t>"Não progride nas lavagens domésticas"</t>
        </is>
      </c>
      <c r="C27" s="29" t="n"/>
      <c r="D27" s="29" t="n"/>
      <c r="E27" s="30" t="n"/>
    </row>
    <row r="29">
      <c r="A29" s="27" t="inlineStr">
        <is>
          <t>3. Tabela de medidas (cm)</t>
        </is>
      </c>
      <c r="B29" s="28" t="n"/>
      <c r="C29" s="28" t="n"/>
      <c r="D29" s="28" t="n"/>
      <c r="E29" s="28" t="n"/>
      <c r="F29" s="28" t="n"/>
    </row>
    <row r="30">
      <c r="A30" s="9" t="inlineStr">
        <is>
          <t>Tamanho</t>
        </is>
      </c>
      <c r="B30" s="9" t="inlineStr">
        <is>
          <t>Comprimento</t>
        </is>
      </c>
      <c r="C30" s="9" t="inlineStr">
        <is>
          <t>Largura</t>
        </is>
      </c>
      <c r="D30" s="9" t="inlineStr">
        <is>
          <t>Ombros</t>
        </is>
      </c>
      <c r="E30" s="9" t="inlineStr">
        <is>
          <t>Mangas</t>
        </is>
      </c>
    </row>
    <row r="31">
      <c r="A31" s="10" t="inlineStr">
        <is>
          <t>P</t>
        </is>
      </c>
      <c r="B31" s="11" t="n">
        <v>73</v>
      </c>
      <c r="C31" s="11" t="n">
        <v>57</v>
      </c>
      <c r="D31" s="11" t="n">
        <v>52</v>
      </c>
      <c r="E31" s="11" t="n">
        <v>22</v>
      </c>
    </row>
    <row r="32">
      <c r="A32" s="10" t="inlineStr">
        <is>
          <t>M</t>
        </is>
      </c>
      <c r="B32" s="11" t="n">
        <v>75</v>
      </c>
      <c r="C32" s="11" t="n">
        <v>59</v>
      </c>
      <c r="D32" s="11" t="n">
        <v>54</v>
      </c>
      <c r="E32" s="11" t="n">
        <v>24</v>
      </c>
    </row>
    <row r="33">
      <c r="A33" s="10" t="inlineStr">
        <is>
          <t>G</t>
        </is>
      </c>
      <c r="B33" s="11" t="n">
        <v>77</v>
      </c>
      <c r="C33" s="11" t="n">
        <v>61</v>
      </c>
      <c r="D33" s="11" t="n">
        <v>56</v>
      </c>
      <c r="E33" s="11" t="n">
        <v>26</v>
      </c>
    </row>
    <row r="34">
      <c r="A34" s="10" t="inlineStr">
        <is>
          <t>GG</t>
        </is>
      </c>
      <c r="B34" s="11" t="n">
        <v>79</v>
      </c>
      <c r="C34" s="11" t="n">
        <v>63</v>
      </c>
      <c r="D34" s="11" t="n">
        <v>58</v>
      </c>
      <c r="E34" s="11" t="n">
        <v>28</v>
      </c>
    </row>
    <row r="35">
      <c r="A35" s="10" t="inlineStr">
        <is>
          <t>EG</t>
        </is>
      </c>
      <c r="B35" s="11" t="n">
        <v>81</v>
      </c>
      <c r="C35" s="11" t="n">
        <v>65</v>
      </c>
      <c r="D35" s="11" t="n">
        <v>60</v>
      </c>
      <c r="E35" s="11" t="n">
        <v>30</v>
      </c>
    </row>
    <row r="36" ht="30" customHeight="1">
      <c r="A36" s="2" t="inlineStr">
        <is>
          <t>Tabela própria (± 1–2 cm), pré-encolhida. Modelo 1,84 m / 84 kg veste M. ⚠️ Mangas diferem do P16 (M 24 × 25; EG 30 × 28), embora o texto diga "mesma modelagem".</t>
        </is>
      </c>
    </row>
    <row r="37">
      <c r="A37" s="15" t="inlineStr">
        <is>
          <t>Modelo das fotos: 1,84 m · 84 kg · veste M</t>
        </is>
      </c>
    </row>
    <row r="39">
      <c r="A39" s="27" t="inlineStr">
        <is>
          <t>4. Cores disponíveis</t>
        </is>
      </c>
      <c r="B39" s="28" t="n"/>
      <c r="C39" s="28" t="n"/>
      <c r="D39" s="28" t="n"/>
      <c r="E39" s="28" t="n"/>
      <c r="F39" s="28" t="n"/>
    </row>
    <row r="40">
      <c r="A40" s="9" t="inlineStr">
        <is>
          <t>Cor</t>
        </is>
      </c>
      <c r="B40" s="9" t="inlineStr">
        <is>
          <t>Código HMZT</t>
        </is>
      </c>
      <c r="C40" s="9" t="inlineStr">
        <is>
          <t>Ref. fornecedor</t>
        </is>
      </c>
      <c r="D40" s="9" t="inlineStr">
        <is>
          <t>Observação</t>
        </is>
      </c>
    </row>
    <row r="41">
      <c r="A41" s="10" t="inlineStr">
        <is>
          <t>Verde Musgo</t>
        </is>
      </c>
      <c r="B41" s="10" t="inlineStr">
        <is>
          <t>VMG</t>
        </is>
      </c>
      <c r="C41" s="10" t="inlineStr">
        <is>
          <t>n/i</t>
        </is>
      </c>
      <c r="D41" s="10" t="inlineStr">
        <is>
          <t>Fotos #1, #2, #4</t>
        </is>
      </c>
    </row>
    <row r="42">
      <c r="A42" s="10" t="inlineStr">
        <is>
          <t>Azul</t>
        </is>
      </c>
      <c r="B42" s="10" t="inlineStr">
        <is>
          <t>AZU</t>
        </is>
      </c>
      <c r="C42" s="10" t="inlineStr">
        <is>
          <t>n/i</t>
        </is>
      </c>
      <c r="D42" s="10" t="inlineStr">
        <is>
          <t>Azul índigo lavado (fotos #5, #7) — tom exato não definido</t>
        </is>
      </c>
    </row>
    <row r="43">
      <c r="A43" s="10" t="inlineStr">
        <is>
          <t>Preto</t>
        </is>
      </c>
      <c r="B43" s="10" t="inlineStr">
        <is>
          <t>PRT</t>
        </is>
      </c>
      <c r="C43" s="10" t="inlineStr">
        <is>
          <t>n/i</t>
        </is>
      </c>
      <c r="D43" s="10" t="inlineStr">
        <is>
          <t>Sai grafite-oliva depois da lavagem (fotos #8, #9)</t>
        </is>
      </c>
    </row>
    <row r="44" ht="30" customHeight="1">
      <c r="A44" s="2" t="inlineStr">
        <is>
          <t>Seletor não aparece (esgotado). Texto: 3 cores. "Azul" não diz qual azul.</t>
        </is>
      </c>
    </row>
    <row r="46">
      <c r="A46" s="27" t="inlineStr">
        <is>
          <t>5. Personalização (preço sempre sob orçamento)</t>
        </is>
      </c>
      <c r="B46" s="28" t="n"/>
      <c r="C46" s="28" t="n"/>
      <c r="D46" s="28" t="n"/>
      <c r="E46" s="28" t="n"/>
      <c r="F46" s="28" t="n"/>
    </row>
    <row r="47">
      <c r="A47" s="9" t="inlineStr">
        <is>
          <t>Técnica</t>
        </is>
      </c>
      <c r="B47" s="9" t="inlineStr">
        <is>
          <t>Detalhe</t>
        </is>
      </c>
      <c r="C47" s="9" t="inlineStr">
        <is>
          <t>Mínimo</t>
        </is>
      </c>
    </row>
    <row r="48">
      <c r="A48" s="10" t="inlineStr">
        <is>
          <t>Bordado no bolso</t>
        </is>
      </c>
      <c r="B48" s="10" t="inlineStr">
        <is>
          <t>Até 8 × 8 cm</t>
        </is>
      </c>
      <c r="C48" s="10" t="inlineStr">
        <is>
          <t>20 pç</t>
        </is>
      </c>
    </row>
    <row r="49">
      <c r="A49" s="10" t="inlineStr">
        <is>
          <t>Silk localizado no bolso</t>
        </is>
      </c>
      <c r="B49" s="10" t="inlineStr">
        <is>
          <t>—</t>
        </is>
      </c>
      <c r="C49" s="10" t="inlineStr">
        <is>
          <t>20 pç</t>
        </is>
      </c>
    </row>
    <row r="50">
      <c r="A50" s="10" t="inlineStr">
        <is>
          <t>Etiqueta aplicada no bolso</t>
        </is>
      </c>
      <c r="B50" s="10" t="inlineStr">
        <is>
          <t>Costurada</t>
        </is>
      </c>
      <c r="C50" s="10" t="inlineStr">
        <is>
          <t>20 pç</t>
        </is>
      </c>
    </row>
    <row r="51">
      <c r="A51" s="10" t="inlineStr">
        <is>
          <t>DTF</t>
        </is>
      </c>
      <c r="B51" s="10" t="inlineStr">
        <is>
          <t>Full color</t>
        </is>
      </c>
      <c r="C51" s="10" t="inlineStr">
        <is>
          <t>20 pç</t>
        </is>
      </c>
    </row>
    <row r="52">
      <c r="A52" s="10" t="inlineStr">
        <is>
          <t>Etiqueta private label</t>
        </is>
      </c>
      <c r="B52" s="10" t="inlineStr">
        <is>
          <t>Interna + tag</t>
        </is>
      </c>
      <c r="C52" s="10" t="inlineStr">
        <is>
          <t>20 pç</t>
        </is>
      </c>
    </row>
    <row r="54">
      <c r="A54" s="27" t="inlineStr">
        <is>
          <t>6. Preços do fornecedor (desconto progressivo)</t>
        </is>
      </c>
      <c r="B54" s="28" t="n"/>
      <c r="C54" s="28" t="n"/>
      <c r="D54" s="28" t="n"/>
      <c r="E54" s="28" t="n"/>
      <c r="F54" s="28" t="n"/>
    </row>
    <row r="55">
      <c r="A55" s="24" t="inlineStr">
        <is>
          <t>Preço base (R$)</t>
        </is>
      </c>
      <c r="B55" s="31" t="n">
        <v>39.78</v>
      </c>
    </row>
    <row r="56">
      <c r="A56" s="17" t="inlineStr">
        <is>
          <t>Faixa</t>
        </is>
      </c>
      <c r="B56" s="17" t="inlineStr">
        <is>
          <t>Peças</t>
        </is>
      </c>
      <c r="C56" s="17" t="inlineStr">
        <is>
          <t>Desconto</t>
        </is>
      </c>
      <c r="D56" s="17" t="inlineStr">
        <is>
          <t>Preço unitário</t>
        </is>
      </c>
      <c r="E56" s="17" t="inlineStr">
        <is>
          <t>Preço + Pix</t>
        </is>
      </c>
    </row>
    <row r="57">
      <c r="A57" s="18" t="inlineStr">
        <is>
          <t>Faixa 1</t>
        </is>
      </c>
      <c r="B57" s="18" t="inlineStr">
        <is>
          <t>20–40</t>
        </is>
      </c>
      <c r="C57" s="32">
        <f>'Regras Fornecedor'!$D$4</f>
        <v/>
      </c>
      <c r="D57" s="33">
        <f>ROUND($B$55*(1-C57),2)</f>
        <v/>
      </c>
      <c r="E57" s="34">
        <f>ROUND(D57*(1-'Regras Fornecedor'!$B$10),2)</f>
        <v/>
      </c>
    </row>
    <row r="58">
      <c r="A58" s="18" t="inlineStr">
        <is>
          <t>Faixa 2</t>
        </is>
      </c>
      <c r="B58" s="18" t="inlineStr">
        <is>
          <t>40–80</t>
        </is>
      </c>
      <c r="C58" s="32">
        <f>'Regras Fornecedor'!$D$5</f>
        <v/>
      </c>
      <c r="D58" s="33">
        <f>ROUND($B$55*(1-C58),2)</f>
        <v/>
      </c>
      <c r="E58" s="34">
        <f>ROUND(D58*(1-'Regras Fornecedor'!$B$10),2)</f>
        <v/>
      </c>
    </row>
    <row r="59">
      <c r="A59" s="18" t="inlineStr">
        <is>
          <t>Faixa 3</t>
        </is>
      </c>
      <c r="B59" s="18" t="inlineStr">
        <is>
          <t>80–100</t>
        </is>
      </c>
      <c r="C59" s="32">
        <f>'Regras Fornecedor'!$D$6</f>
        <v/>
      </c>
      <c r="D59" s="33">
        <f>ROUND($B$55*(1-C59),2)</f>
        <v/>
      </c>
      <c r="E59" s="34">
        <f>ROUND(D59*(1-'Regras Fornecedor'!$B$10),2)</f>
        <v/>
      </c>
    </row>
    <row r="60">
      <c r="A60" s="18" t="inlineStr">
        <is>
          <t>Faixa 4</t>
        </is>
      </c>
      <c r="B60" s="18" t="inlineStr">
        <is>
          <t>100–300</t>
        </is>
      </c>
      <c r="C60" s="32">
        <f>'Regras Fornecedor'!$D$7</f>
        <v/>
      </c>
      <c r="D60" s="33">
        <f>ROUND($B$55*(1-C60),2)</f>
        <v/>
      </c>
      <c r="E60" s="34">
        <f>ROUND(D60*(1-'Regras Fornecedor'!$B$10),2)</f>
        <v/>
      </c>
    </row>
    <row r="61">
      <c r="A61" s="18" t="inlineStr">
        <is>
          <t>Faixa 5</t>
        </is>
      </c>
      <c r="B61" s="18" t="inlineStr">
        <is>
          <t>300–999</t>
        </is>
      </c>
      <c r="C61" s="32">
        <f>'Regras Fornecedor'!$D$8</f>
        <v/>
      </c>
      <c r="D61" s="33">
        <f>ROUND($B$55*(1-C61),2)</f>
        <v/>
      </c>
      <c r="E61" s="34">
        <f>ROUND(D61*(1-'Regras Fornecedor'!$B$10),2)</f>
        <v/>
      </c>
    </row>
    <row r="63">
      <c r="A63" s="27" t="inlineStr">
        <is>
          <t>7. Custo HMZT e margem (lote de 20 peças, Pix)</t>
        </is>
      </c>
      <c r="B63" s="28" t="n"/>
      <c r="C63" s="28" t="n"/>
      <c r="D63" s="28" t="n"/>
      <c r="E63" s="28" t="n"/>
      <c r="F63" s="28" t="n"/>
    </row>
    <row r="64">
      <c r="A64" s="24" t="inlineStr">
        <is>
          <t>Peça (20 pç, Pix)</t>
        </is>
      </c>
      <c r="B64" s="35">
        <f>E57</f>
        <v/>
      </c>
    </row>
    <row r="65">
      <c r="A65" s="24" t="inlineStr">
        <is>
          <t>Personalização + etiqueta + tag (R$/pç)</t>
        </is>
      </c>
      <c r="B65" s="36" t="n">
        <v>10</v>
      </c>
      <c r="C65" s="15" t="inlineStr">
        <is>
          <t>Estimativa HMZT — trocar pelo orçamento real</t>
        </is>
      </c>
    </row>
    <row r="66">
      <c r="A66" s="24" t="inlineStr">
        <is>
          <t>Frete rateado + embalagem (R$/pç)</t>
        </is>
      </c>
      <c r="B66" s="36" t="n">
        <v>4</v>
      </c>
      <c r="C66" s="15" t="inlineStr">
        <is>
          <t>Estimativa HMZT — trocar pelo orçamento real</t>
        </is>
      </c>
    </row>
    <row r="67">
      <c r="A67" s="24" t="inlineStr">
        <is>
          <t>Custo unitário estimado</t>
        </is>
      </c>
      <c r="B67" s="37">
        <f>SUM(B64:B66)</f>
        <v/>
      </c>
    </row>
    <row r="68">
      <c r="A68" s="24" t="inlineStr">
        <is>
          <t>Preço de venda HMZT (R$)</t>
        </is>
      </c>
      <c r="B68" s="36" t="n">
        <v>149</v>
      </c>
      <c r="C68" s="15" t="inlineStr">
        <is>
          <t>Sugestão do dossiê — ajustar</t>
        </is>
      </c>
    </row>
    <row r="69">
      <c r="A69" s="24" t="inlineStr">
        <is>
          <t>Impostos + gateway (% do preço)</t>
        </is>
      </c>
      <c r="B69" s="38" t="n">
        <v>0</v>
      </c>
      <c r="C69" s="15" t="inlineStr">
        <is>
          <t>A preencher (Simples + taxa Asaas)</t>
        </is>
      </c>
    </row>
    <row r="70">
      <c r="A70" s="24" t="inlineStr">
        <is>
          <t>Margem bruta (R$)</t>
        </is>
      </c>
      <c r="B70" s="35">
        <f>B68-B67</f>
        <v/>
      </c>
    </row>
    <row r="71">
      <c r="A71" s="24" t="inlineStr">
        <is>
          <t>Margem bruta (%)</t>
        </is>
      </c>
      <c r="B71" s="39">
        <f>IF(B68=0,0,(B68-B67)/B68)</f>
        <v/>
      </c>
    </row>
    <row r="72">
      <c r="A72" s="24" t="inlineStr">
        <is>
          <t>Margem após impostos/gateway (%)</t>
        </is>
      </c>
      <c r="B72" s="39">
        <f>IF(B68=0,0,(B68*(1-B69)-B67)/B68)</f>
        <v/>
      </c>
      <c r="C72" s="15" t="inlineStr">
        <is>
          <t>Ainda sem frete ao cliente e mídia</t>
        </is>
      </c>
    </row>
    <row r="74">
      <c r="A74" s="27" t="inlineStr">
        <is>
          <t>8. Contradições e erros ⚠️</t>
        </is>
      </c>
      <c r="B74" s="28" t="n"/>
      <c r="C74" s="28" t="n"/>
      <c r="D74" s="28" t="n"/>
      <c r="E74" s="28" t="n"/>
      <c r="F74" s="28" t="n"/>
    </row>
    <row r="75">
      <c r="A75" s="8" t="inlineStr">
        <is>
          <t>⚠️ Conferência com a página do P02: o comparativo do P02 diz "Estonada Oversized Bolso 175g, 100% algodão penteado 30/1, 3 cores, R$ 39,78" — bate com esta página ✅ (175 g, 30/1, Verde Musgo/Azul/Preto, base R$ 39,78, mínimo R$ 27,85). E o "Esse acabou" do P02 também bate: a própria página do P17 está esgotada (sem seletor, sem preço no topo). O P02 ainda diz "peso ao vestir: leve" e "volume de vendas alto" 📣.</t>
        </is>
      </c>
    </row>
    <row r="76">
      <c r="A76" s="8" t="inlineStr">
        <is>
          <t>⚠️ Mangas × P16: texto diz "mesma modelagem oversized", mas as mangas diferem (M 24 × 25; EG 30 × 28; salto de 2 cm × 1 cm).</t>
        </is>
      </c>
    </row>
    <row r="77">
      <c r="A77" s="8" t="inlineStr">
        <is>
          <t>⚠️ "Toque peletizado/aveludado": peletizado é acabamento escovado (tipo suedine). Stone wash amacia, mas não cria pelo. Termo errado — não usar.</t>
        </is>
      </c>
    </row>
    <row r="78">
      <c r="A78" s="8" t="inlineStr">
        <is>
          <t>⚠️ Lavanderia: aqui "estonagem em lavanderia industrial"; no P14, "sem lavanderia terceirizada".</t>
        </is>
      </c>
    </row>
    <row r="79">
      <c r="A79" s="8" t="inlineStr">
        <is>
          <t>⚠️ Gramatura: 175 g/m² × "180GSM" no banner #10.</t>
        </is>
      </c>
    </row>
    <row r="80">
      <c r="A80" s="8" t="inlineStr">
        <is>
          <t>⚠️ Mockup #3: camiseta sem bolso e sem lavagem — não representa o produto. Banners #3, #6, #10 e #11 são os mesmos do P16.</t>
        </is>
      </c>
    </row>
    <row r="81">
      <c r="A81" s="8" t="inlineStr">
        <is>
          <t>⚠️ "Azul" sem especificar o tom (nas fotos é um índigo lavado).</t>
        </is>
      </c>
    </row>
    <row r="82">
      <c r="A82" s="8" t="inlineStr">
        <is>
          <t>⚠️ Reposição: o próprio FAQ avisa que "a estonagem é demorada — lotes podem levar mais tempo para reposição".</t>
        </is>
      </c>
    </row>
    <row r="84">
      <c r="A84" s="27" t="inlineStr">
        <is>
          <t>9. Comunicação HMZT</t>
        </is>
      </c>
      <c r="B84" s="28" t="n"/>
      <c r="C84" s="28" t="n"/>
      <c r="D84" s="28" t="n"/>
      <c r="E84" s="28" t="n"/>
      <c r="F84" s="28" t="n"/>
    </row>
    <row r="85">
      <c r="A85" s="24" t="inlineStr">
        <is>
          <t>✅ Pode usar</t>
        </is>
      </c>
      <c r="D85" s="24" t="inlineStr">
        <is>
          <t>📣 / ⛔ Não usar</t>
        </is>
      </c>
    </row>
    <row r="86">
      <c r="A86" s="40" t="inlineStr">
        <is>
          <t>"100% algodão penteado, fio 30/1"</t>
        </is>
      </c>
      <c r="D86" s="8" t="inlineStr">
        <is>
          <t>"Ticket médio 25–40% acima do básico liso" / "+35% vs liso"</t>
        </is>
      </c>
    </row>
    <row r="87">
      <c r="A87" s="40" t="inlineStr">
        <is>
          <t>"Lavada com pedras depois de costurada: cada peça tem tom e desgaste levemente diferentes" (é o processo físico — dizer como característica, não como "defeito" nem "exclusividade")</t>
        </is>
      </c>
      <c r="D87" s="8" t="inlineStr">
        <is>
          <t>"Exclusividade real que justifica preço premium" / "a peça se diferencia sozinha"</t>
        </is>
      </c>
    </row>
    <row r="88">
      <c r="A88" s="40" t="inlineStr">
        <is>
          <t>"Gola canelada 2/1, costura ponto cadeia, reforço ombro a ombro, barra dupla"</t>
        </is>
      </c>
      <c r="D88" s="8" t="inlineStr">
        <is>
          <t>"Consistência que estonagens terceirizadas não alcançam"</t>
        </is>
      </c>
    </row>
    <row r="89">
      <c r="A89" s="40" t="inlineStr">
        <is>
          <t>"Pré-encolhida e com tratamento anti-torção"</t>
        </is>
      </c>
      <c r="D89" s="8" t="inlineStr">
        <is>
          <t>"Toque de camiseta lavada 50 vezes" / "nenhum amaciamento químico reproduz"</t>
        </is>
      </c>
    </row>
    <row r="90">
      <c r="A90" s="40" t="inlineStr">
        <is>
          <t>"Fabricada em Santa Catarina"</t>
        </is>
      </c>
      <c r="D90" s="8" t="inlineStr">
        <is>
          <t>"Não desbota" / "visual vintage permanente" (banner diz "Não desbota" numa peça que é desbotada de propósito)</t>
        </is>
      </c>
    </row>
    <row r="91">
      <c r="A91" s="40" t="inlineStr">
        <is>
          <t>"Bolso no peito" — área para bordado discreto</t>
        </is>
      </c>
      <c r="D91" s="8" t="inlineStr">
        <is>
          <t>"Sustenta recompra", "converte", "avaliação positiva desde a primeira vestida"</t>
        </is>
      </c>
    </row>
    <row r="92">
      <c r="A92" s="40" t="inlineStr">
        <is>
          <t>"Modelagem oversized com ombro caído"</t>
        </is>
      </c>
      <c r="D92" s="8" t="inlineStr">
        <is>
          <t>Selos genéricos da galeria ("100% Original")</t>
        </is>
      </c>
    </row>
    <row r="93">
      <c r="D93" s="8" t="inlineStr">
        <is>
          <t>"Toque peletizado/aveludado"</t>
        </is>
      </c>
    </row>
    <row r="94">
      <c r="D94" s="8" t="inlineStr">
        <is>
          <t>"Você vende como assinatura de marca"</t>
        </is>
      </c>
    </row>
    <row r="95">
      <c r="D95" s="8" t="inlineStr">
        <is>
          <t>"Volume de vendas alto" (P02)</t>
        </is>
      </c>
    </row>
    <row r="97">
      <c r="A97" s="27" t="inlineStr">
        <is>
          <t>10. Pendências com o fornecedor</t>
        </is>
      </c>
      <c r="B97" s="28" t="n"/>
      <c r="C97" s="28" t="n"/>
      <c r="D97" s="28" t="n"/>
      <c r="E97" s="28" t="n"/>
      <c r="F97" s="28" t="n"/>
    </row>
    <row r="98">
      <c r="A98" s="9" t="inlineStr">
        <is>
          <t>Pendência</t>
        </is>
      </c>
      <c r="B98" s="9" t="inlineStr">
        <is>
          <t>Status</t>
        </is>
      </c>
      <c r="C98" s="9" t="inlineStr">
        <is>
          <t>Responsável</t>
        </is>
      </c>
      <c r="D98" s="9" t="inlineStr">
        <is>
          <t>Resposta</t>
        </is>
      </c>
    </row>
    <row r="99">
      <c r="A99" s="10" t="inlineStr">
        <is>
          <t>Previsão de reposição</t>
        </is>
      </c>
      <c r="B99" s="11" t="inlineStr">
        <is>
          <t>Aberta</t>
        </is>
      </c>
      <c r="C99" s="11" t="inlineStr"/>
      <c r="D99" s="11" t="inlineStr"/>
    </row>
    <row r="100">
      <c r="A100" s="10" t="inlineStr">
        <is>
          <t>Tabela de mangas × P16</t>
        </is>
      </c>
      <c r="B100" s="11" t="inlineStr">
        <is>
          <t>Aberta</t>
        </is>
      </c>
      <c r="C100" s="11" t="inlineStr"/>
      <c r="D100" s="11" t="inlineStr"/>
    </row>
    <row r="101">
      <c r="A101" s="10" t="inlineStr">
        <is>
          <t>Tom do "Azul"</t>
        </is>
      </c>
      <c r="B101" s="11" t="inlineStr">
        <is>
          <t>Aberta</t>
        </is>
      </c>
      <c r="C101" s="11" t="inlineStr"/>
      <c r="D101" s="11" t="inlineStr"/>
    </row>
    <row r="102">
      <c r="A102" s="10" t="inlineStr">
        <is>
          <t>Medida e posição do bolso</t>
        </is>
      </c>
      <c r="B102" s="11" t="inlineStr">
        <is>
          <t>Aberta</t>
        </is>
      </c>
      <c r="C102" s="11" t="inlineStr"/>
      <c r="D102" s="11" t="inlineStr"/>
    </row>
    <row r="103">
      <c r="A103" s="10" t="inlineStr">
        <is>
          <t>Confirmar gramatura (175 g/m² × 180 GSM dos banners)</t>
        </is>
      </c>
      <c r="B103" s="11" t="inlineStr">
        <is>
          <t>Aberta</t>
        </is>
      </c>
      <c r="C103" s="11" t="inlineStr"/>
      <c r="D103" s="11" t="inlineStr"/>
    </row>
    <row r="104">
      <c r="A104" s="10" t="inlineStr">
        <is>
          <t>Orçamento de personalização (bordado pequeno, DTF, etiqueta, tag) e frete Itajaí → SP</t>
        </is>
      </c>
      <c r="B104" s="11" t="inlineStr">
        <is>
          <t>Aberta</t>
        </is>
      </c>
      <c r="C104" s="11" t="inlineStr"/>
      <c r="D104" s="11" t="inlineStr"/>
    </row>
    <row r="105">
      <c r="A105" s="10" t="inlineStr">
        <is>
          <t>Origem do algodão (não citada nesta página)</t>
        </is>
      </c>
      <c r="B105" s="11" t="inlineStr">
        <is>
          <t>Aberta</t>
        </is>
      </c>
      <c r="C105" s="11" t="inlineStr"/>
      <c r="D105" s="11" t="inlineStr"/>
    </row>
    <row r="106">
      <c r="A106" s="10" t="inlineStr">
        <is>
          <t>Tolerância de variação de tom entre lotes</t>
        </is>
      </c>
      <c r="B106" s="11" t="inlineStr">
        <is>
          <t>Aberta</t>
        </is>
      </c>
      <c r="C106" s="11" t="inlineStr"/>
      <c r="D106" s="11" t="inlineStr"/>
    </row>
    <row r="108">
      <c r="A108" s="27" t="inlineStr">
        <is>
          <t>11. Fluxo de prompts de lookbook (docs/shop-confeccao/prompts/P17-prompts.md)</t>
        </is>
      </c>
      <c r="B108" s="28" t="n"/>
      <c r="C108" s="28" t="n"/>
      <c r="D108" s="28" t="n"/>
      <c r="E108" s="28" t="n"/>
      <c r="F108" s="28" t="n"/>
    </row>
    <row r="109">
      <c r="A109" s="9" t="inlineStr">
        <is>
          <t>Foto</t>
        </is>
      </c>
      <c r="B109" s="9" t="inlineStr">
        <is>
          <t>Origem no print</t>
        </is>
      </c>
      <c r="C109" s="9" t="inlineStr">
        <is>
          <t>Formato</t>
        </is>
      </c>
      <c r="D109" s="9" t="inlineStr">
        <is>
          <t>Status</t>
        </is>
      </c>
    </row>
    <row r="110">
      <c r="A110" s="10" t="inlineStr">
        <is>
          <t>F1 — 3/4 olhar lateral</t>
        </is>
      </c>
      <c r="B110" s="10" t="inlineStr">
        <is>
          <t>Origem: foto #1 (verde musgo)</t>
        </is>
      </c>
      <c r="C110" s="10" t="inlineStr">
        <is>
          <t>4:5</t>
        </is>
      </c>
      <c r="D110" s="11" t="inlineStr">
        <is>
          <t>A gerar</t>
        </is>
      </c>
    </row>
    <row r="111">
      <c r="A111" s="10" t="inlineStr">
        <is>
          <t>F2 — 3/4 sorrindo</t>
        </is>
      </c>
      <c r="B111" s="10" t="inlineStr">
        <is>
          <t>Origem: foto #2 (verde musgo)</t>
        </is>
      </c>
      <c r="C111" s="10" t="inlineStr">
        <is>
          <t>4:5</t>
        </is>
      </c>
      <c r="D111" s="11" t="inlineStr">
        <is>
          <t>A gerar</t>
        </is>
      </c>
    </row>
    <row r="112">
      <c r="A112" s="10" t="inlineStr">
        <is>
          <t>F3 — Frontal olhar para cima</t>
        </is>
      </c>
      <c r="B112" s="10" t="inlineStr">
        <is>
          <t>Origem: foto #4 (verde musgo)</t>
        </is>
      </c>
      <c r="C112" s="10" t="inlineStr">
        <is>
          <t>4:5</t>
        </is>
      </c>
      <c r="D112" s="11" t="inlineStr">
        <is>
          <t>A gerar</t>
        </is>
      </c>
    </row>
    <row r="113">
      <c r="A113" s="10" t="inlineStr">
        <is>
          <t>F4 — Frontal olhar para o lado</t>
        </is>
      </c>
      <c r="B113" s="10" t="inlineStr">
        <is>
          <t>Origem: foto #5 (azul)</t>
        </is>
      </c>
      <c r="C113" s="10" t="inlineStr">
        <is>
          <t>4:5</t>
        </is>
      </c>
      <c r="D113" s="11" t="inlineStr">
        <is>
          <t>A gerar</t>
        </is>
      </c>
    </row>
    <row r="114">
      <c r="A114" s="10" t="inlineStr">
        <is>
          <t>F5 — 3/4 cabeça inclinada</t>
        </is>
      </c>
      <c r="B114" s="10" t="inlineStr">
        <is>
          <t>Origem: foto #7 (azul)</t>
        </is>
      </c>
      <c r="C114" s="10" t="inlineStr">
        <is>
          <t>4:5</t>
        </is>
      </c>
      <c r="D114" s="11" t="inlineStr">
        <is>
          <t>A gerar</t>
        </is>
      </c>
    </row>
    <row r="115">
      <c r="A115" s="10" t="inlineStr">
        <is>
          <t>F6 — 3/4 mão na barra, olhar baixo</t>
        </is>
      </c>
      <c r="B115" s="10" t="inlineStr">
        <is>
          <t>Origem: foto #8 (preto lavado)</t>
        </is>
      </c>
      <c r="C115" s="10" t="inlineStr">
        <is>
          <t>4:5</t>
        </is>
      </c>
      <c r="D115" s="11" t="inlineStr">
        <is>
          <t>A gerar</t>
        </is>
      </c>
    </row>
    <row r="116">
      <c r="A116" s="10" t="inlineStr">
        <is>
          <t>F7 — Frontal olhando a câmera</t>
        </is>
      </c>
      <c r="B116" s="10" t="inlineStr">
        <is>
          <t>Origem: foto #9 (preto lavado)</t>
        </is>
      </c>
      <c r="C116" s="10" t="inlineStr">
        <is>
          <t>4:5</t>
        </is>
      </c>
      <c r="D116" s="11" t="inlineStr">
        <is>
          <t>A gerar</t>
        </is>
      </c>
    </row>
    <row r="117">
      <c r="A117" s="10" t="inlineStr">
        <is>
          <t>F8 — Mockup de personalização (versão HMZT)</t>
        </is>
      </c>
      <c r="B117" s="10" t="inlineStr">
        <is>
          <t>Origem: foto #3 (mockup do fornecedor com texto, camiseta preta sem bolso e sem lavagem) — refeito com bolso e frente lisa; banners #6, #10 e #11 não viram shot</t>
        </is>
      </c>
      <c r="C117" s="10" t="inlineStr">
        <is>
          <t>4:5</t>
        </is>
      </c>
      <c r="D117" s="11" t="inlineStr">
        <is>
          <t>A gerar</t>
        </is>
      </c>
    </row>
  </sheetData>
  <mergeCells count="48">
    <mergeCell ref="B4:F4"/>
    <mergeCell ref="A90:C90"/>
    <mergeCell ref="B7:F7"/>
    <mergeCell ref="A80:F80"/>
    <mergeCell ref="A75:F75"/>
    <mergeCell ref="A89:C89"/>
    <mergeCell ref="B15:E15"/>
    <mergeCell ref="B24:E24"/>
    <mergeCell ref="B20:E20"/>
    <mergeCell ref="D91:F91"/>
    <mergeCell ref="A86:C86"/>
    <mergeCell ref="D87:F87"/>
    <mergeCell ref="B26:E26"/>
    <mergeCell ref="A76:F76"/>
    <mergeCell ref="A87:C87"/>
    <mergeCell ref="B11:F11"/>
    <mergeCell ref="D93:F93"/>
    <mergeCell ref="B16:E16"/>
    <mergeCell ref="B25:E25"/>
    <mergeCell ref="A91:C91"/>
    <mergeCell ref="B8:F8"/>
    <mergeCell ref="D92:F92"/>
    <mergeCell ref="B22:E22"/>
    <mergeCell ref="A81:F81"/>
    <mergeCell ref="B18:E18"/>
    <mergeCell ref="B27:E27"/>
    <mergeCell ref="D89:F89"/>
    <mergeCell ref="A44:F44"/>
    <mergeCell ref="B10:F10"/>
    <mergeCell ref="D94:F94"/>
    <mergeCell ref="B21:E21"/>
    <mergeCell ref="D88:F88"/>
    <mergeCell ref="A92:C92"/>
    <mergeCell ref="A77:F77"/>
    <mergeCell ref="B9:F9"/>
    <mergeCell ref="B17:E17"/>
    <mergeCell ref="B23:E23"/>
    <mergeCell ref="A82:F82"/>
    <mergeCell ref="D90:F90"/>
    <mergeCell ref="B6:F6"/>
    <mergeCell ref="A36:F36"/>
    <mergeCell ref="B5:F5"/>
    <mergeCell ref="A79:F79"/>
    <mergeCell ref="A88:C88"/>
    <mergeCell ref="B19:E19"/>
    <mergeCell ref="A78:F78"/>
    <mergeCell ref="D86:F86"/>
    <mergeCell ref="D95:F9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2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P18 — Camiseta Rib Wide Texture 240g — canelado largo vertical</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HMZT-P18-REG-RIB240</t>
        </is>
      </c>
    </row>
    <row r="5">
      <c r="A5" s="24" t="inlineStr">
        <is>
          <t>Fornecedor</t>
        </is>
      </c>
      <c r="B5" s="2" t="inlineStr">
        <is>
          <t>Lunfe Malhas — fabricação própria, Itajaí-SC</t>
        </is>
      </c>
    </row>
    <row r="6">
      <c r="A6" s="24" t="inlineStr">
        <is>
          <t>Referência</t>
        </is>
      </c>
      <c r="B6" s="2" t="inlineStr">
        <is>
          <t>7898132575007 (EAN-13)</t>
        </is>
      </c>
    </row>
    <row r="7">
      <c r="A7" s="24" t="inlineStr">
        <is>
          <t>URL</t>
        </is>
      </c>
      <c r="B7" s="2" t="inlineStr">
        <is>
          <t>lunfemalhas.com.br/camiseta-rib-wide-texture-240g-atacado-lunfe</t>
        </is>
      </c>
    </row>
    <row r="8">
      <c r="A8" s="24" t="inlineStr">
        <is>
          <t>Categoria no site</t>
        </is>
      </c>
      <c r="B8" s="2" t="inlineStr">
        <is>
          <t>Camisetas › Malhas Texturizadas</t>
        </is>
      </c>
    </row>
    <row r="9">
      <c r="A9" s="24" t="inlineStr">
        <is>
          <t>Linha HMZT recomendada</t>
        </is>
      </c>
      <c r="B9" s="2" t="inlineStr">
        <is>
          <t>Textura (nova) — alternativa vertical; esgotada</t>
        </is>
      </c>
    </row>
    <row r="10">
      <c r="A10" s="24" t="inlineStr">
        <is>
          <t>Estoque</t>
        </is>
      </c>
      <c r="B10" s="8" t="inlineStr">
        <is>
          <t>🔴 "Esse acabou" na página (sem seletor de cor) × FAQ: "5 cores em estoque, despacho em 24h" ⚠️</t>
        </is>
      </c>
    </row>
    <row r="11">
      <c r="A11" s="24" t="inlineStr">
        <is>
          <t>Descritor canônico (IA)</t>
        </is>
      </c>
      <c r="B11" s="2" t="inlineStr">
        <is>
          <t>Camiseta masculina regular fit, manga curta, malha texturizada 240 g/m² com canelado largo vertical: colunas em relevo de 4–6 mm separadas por vales estreitos, do ombro à barra e ao longo das mangas; superfície fosca; gola careca em faixa lisa; barra dupla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52% algodão + 48% poliéster</t>
        </is>
      </c>
      <c r="C15" s="29" t="n"/>
      <c r="D15" s="29" t="n"/>
      <c r="E15" s="30" t="n"/>
    </row>
    <row r="16">
      <c r="A16" s="10" t="inlineStr">
        <is>
          <t>Origem do algodão</t>
        </is>
      </c>
      <c r="B16" s="10" t="inlineStr">
        <is>
          <t>"Algodão premium importado" — origem não informada</t>
        </is>
      </c>
      <c r="C16" s="29" t="n"/>
      <c r="D16" s="29" t="n"/>
      <c r="E16" s="30" t="n"/>
    </row>
    <row r="17">
      <c r="A17" s="10" t="inlineStr">
        <is>
          <t>Gramatura</t>
        </is>
      </c>
      <c r="B17" s="10" t="inlineStr">
        <is>
          <t>240 g/m²</t>
        </is>
      </c>
      <c r="C17" s="29" t="n"/>
      <c r="D17" s="29" t="n"/>
      <c r="E17" s="30" t="n"/>
    </row>
    <row r="18">
      <c r="A18" s="10" t="inlineStr">
        <is>
          <t>Textura</t>
        </is>
      </c>
      <c r="B18" s="10" t="inlineStr">
        <is>
          <t>Rib Wide — canelado largo vertical: nervuras de 4–6 mm, vales de 2–3 mm, do ombro à barra; superfície fosca</t>
        </is>
      </c>
      <c r="C18" s="29" t="n"/>
      <c r="D18" s="29" t="n"/>
      <c r="E18" s="30" t="n"/>
    </row>
    <row r="19">
      <c r="A19" s="10" t="inlineStr">
        <is>
          <t>Construção</t>
        </is>
      </c>
      <c r="B19" s="10" t="inlineStr">
        <is>
          <t>Malha (tricô) texturizada — o texto chama de "tecelagem", termo errado para malha</t>
        </is>
      </c>
      <c r="C19" s="29" t="n"/>
      <c r="D19" s="29" t="n"/>
      <c r="E19" s="30" t="n"/>
    </row>
    <row r="20">
      <c r="A20" s="10" t="inlineStr">
        <is>
          <t>Modelagem</t>
        </is>
      </c>
      <c r="B20" s="10" t="inlineStr">
        <is>
          <t>Regular fit</t>
        </is>
      </c>
      <c r="C20" s="29" t="n"/>
      <c r="D20" s="29" t="n"/>
      <c r="E20" s="30" t="n"/>
    </row>
    <row r="21">
      <c r="A21" s="10" t="inlineStr">
        <is>
          <t>Gola</t>
        </is>
      </c>
      <c r="B21" s="10" t="inlineStr">
        <is>
          <t>Ribana lisa, acabamento clean (faixa lisa, sem canelado aparente)</t>
        </is>
      </c>
      <c r="C21" s="29" t="n"/>
      <c r="D21" s="29" t="n"/>
      <c r="E21" s="30" t="n"/>
    </row>
    <row r="22">
      <c r="A22" s="10" t="inlineStr">
        <is>
          <t>Acabamentos</t>
        </is>
      </c>
      <c r="B22" s="10" t="inlineStr">
        <is>
          <t>Costura reforçada em todas as emendas; barra dupla</t>
        </is>
      </c>
      <c r="C22" s="29" t="n"/>
      <c r="D22" s="29" t="n"/>
      <c r="E22" s="30" t="n"/>
    </row>
    <row r="23">
      <c r="A23" s="10" t="inlineStr">
        <is>
          <t>Tratamentos</t>
        </is>
      </c>
      <c r="B23" s="10" t="inlineStr">
        <is>
          <t>Pré-encolhimento, anti-torção, fixação de cor de alta solidez</t>
        </is>
      </c>
      <c r="C23" s="29" t="n"/>
      <c r="D23" s="29" t="n"/>
      <c r="E23" s="30" t="n"/>
    </row>
    <row r="24">
      <c r="A24" s="10" t="inlineStr">
        <is>
          <t>Tamanhos</t>
        </is>
      </c>
      <c r="B24" s="10" t="inlineStr">
        <is>
          <t>P, M, G, GG, EG (5)</t>
        </is>
      </c>
      <c r="C24" s="29" t="n"/>
      <c r="D24" s="29" t="n"/>
      <c r="E24" s="30" t="n"/>
    </row>
    <row r="25">
      <c r="A25" s="10" t="inlineStr">
        <is>
          <t>Cuidados</t>
        </is>
      </c>
      <c r="B25" s="10" t="inlineStr">
        <is>
          <t>Lavar do avesso, ciclo delicado, 30 °C</t>
        </is>
      </c>
      <c r="C25" s="29" t="n"/>
      <c r="D25" s="29" t="n"/>
      <c r="E25" s="30" t="n"/>
    </row>
    <row r="26">
      <c r="A26" s="10" t="inlineStr">
        <is>
          <t>Produção</t>
        </is>
      </c>
      <c r="B26" s="10" t="inlineStr">
        <is>
          <t>Fabricação própria Lunfe — Itajaí, SC</t>
        </is>
      </c>
      <c r="C26" s="29" t="n"/>
      <c r="D26" s="29" t="n"/>
      <c r="E26" s="30" t="n"/>
    </row>
    <row r="27">
      <c r="A27" s="10" t="inlineStr">
        <is>
          <t>Nota fiscal</t>
        </is>
      </c>
      <c r="B27" s="10" t="inlineStr">
        <is>
          <t>NF-e com CFOP de revenda (Simples, Presumido, Real)</t>
        </is>
      </c>
      <c r="C27" s="29" t="n"/>
      <c r="D27" s="29" t="n"/>
      <c r="E27" s="30" t="n"/>
    </row>
    <row r="28">
      <c r="A28" s="10" t="inlineStr">
        <is>
          <t>"Textura permanente, não some na lavagem"</t>
        </is>
      </c>
      <c r="B28" s="10" t="inlineStr">
        <is>
          <t>Sem laudo de teste de lavagem</t>
        </is>
      </c>
      <c r="C28" s="29" t="n"/>
      <c r="D28" s="29" t="n"/>
      <c r="E28" s="30" t="n"/>
    </row>
    <row r="29">
      <c r="A29" s="10" t="inlineStr">
        <is>
          <t>"Ticket 40–60% acima da lisa"</t>
        </is>
      </c>
      <c r="B29" s="10" t="inlineStr">
        <is>
          <t>Sem fonte</t>
        </is>
      </c>
      <c r="C29" s="29" t="n"/>
      <c r="D29" s="29" t="n"/>
      <c r="E29" s="30" t="n"/>
    </row>
    <row r="30">
      <c r="A30" s="10" t="inlineStr">
        <is>
          <t>Brilho</t>
        </is>
      </c>
      <c r="B30" s="10" t="inlineStr">
        <is>
          <t>Fosco (matte)</t>
        </is>
      </c>
      <c r="C30" s="29" t="n"/>
      <c r="D30" s="29" t="n"/>
      <c r="E30" s="30" t="n"/>
    </row>
    <row r="31">
      <c r="A31" s="10" t="inlineStr">
        <is>
          <t>Leitura das fotos</t>
        </is>
      </c>
      <c r="B31" s="10" t="inlineStr">
        <is>
          <t>Colunas de larguras levemente irregulares, com grão horizontal fino (aspecto de tricô/jacquard), não um canelado 4–6 mm regular</t>
        </is>
      </c>
      <c r="C31" s="29" t="n"/>
      <c r="D31" s="29" t="n"/>
      <c r="E31" s="30" t="n"/>
    </row>
    <row r="32">
      <c r="A32" s="10" t="inlineStr">
        <is>
          <t>"Linhas verticais afinam e alongam — ilusão comprovada"</t>
        </is>
      </c>
      <c r="B32" s="10" t="inlineStr">
        <is>
          <t>Sem fonte</t>
        </is>
      </c>
      <c r="C32" s="29" t="n"/>
      <c r="D32" s="29" t="n"/>
      <c r="E32" s="30" t="n"/>
    </row>
    <row r="34">
      <c r="A34" s="27" t="inlineStr">
        <is>
          <t>3. Tabela de medidas (cm)</t>
        </is>
      </c>
      <c r="B34" s="28" t="n"/>
      <c r="C34" s="28" t="n"/>
      <c r="D34" s="28" t="n"/>
      <c r="E34" s="28" t="n"/>
      <c r="F34" s="28" t="n"/>
    </row>
    <row r="35">
      <c r="A35" s="9" t="inlineStr">
        <is>
          <t>Tamanho</t>
        </is>
      </c>
      <c r="B35" s="9" t="inlineStr">
        <is>
          <t>Comprimento</t>
        </is>
      </c>
      <c r="C35" s="9" t="inlineStr">
        <is>
          <t>Largura</t>
        </is>
      </c>
      <c r="D35" s="9" t="inlineStr">
        <is>
          <t>Ombros</t>
        </is>
      </c>
      <c r="E35" s="9" t="inlineStr">
        <is>
          <t>Mangas</t>
        </is>
      </c>
    </row>
    <row r="36">
      <c r="A36" s="10" t="inlineStr">
        <is>
          <t>P</t>
        </is>
      </c>
      <c r="B36" s="11" t="n">
        <v>70</v>
      </c>
      <c r="C36" s="11" t="n">
        <v>52</v>
      </c>
      <c r="D36" s="11" t="n">
        <v>44</v>
      </c>
      <c r="E36" s="11" t="n">
        <v>16</v>
      </c>
    </row>
    <row r="37">
      <c r="A37" s="10" t="inlineStr">
        <is>
          <t>M</t>
        </is>
      </c>
      <c r="B37" s="11" t="n">
        <v>72</v>
      </c>
      <c r="C37" s="11" t="n">
        <v>54</v>
      </c>
      <c r="D37" s="11" t="n">
        <v>46</v>
      </c>
      <c r="E37" s="11" t="n">
        <v>18</v>
      </c>
    </row>
    <row r="38">
      <c r="A38" s="10" t="inlineStr">
        <is>
          <t>G</t>
        </is>
      </c>
      <c r="B38" s="11" t="n">
        <v>74</v>
      </c>
      <c r="C38" s="11" t="n">
        <v>56</v>
      </c>
      <c r="D38" s="11" t="n">
        <v>48</v>
      </c>
      <c r="E38" s="11" t="n">
        <v>20</v>
      </c>
    </row>
    <row r="39">
      <c r="A39" s="10" t="inlineStr">
        <is>
          <t>GG</t>
        </is>
      </c>
      <c r="B39" s="11" t="n">
        <v>76</v>
      </c>
      <c r="C39" s="11" t="n">
        <v>58</v>
      </c>
      <c r="D39" s="11" t="n">
        <v>50</v>
      </c>
      <c r="E39" s="11" t="n">
        <v>22</v>
      </c>
    </row>
    <row r="40">
      <c r="A40" s="10" t="inlineStr">
        <is>
          <t>EG</t>
        </is>
      </c>
      <c r="B40" s="11" t="n">
        <v>78</v>
      </c>
      <c r="C40" s="11" t="n">
        <v>60</v>
      </c>
      <c r="D40" s="11" t="n">
        <v>52</v>
      </c>
      <c r="E40" s="11" t="n">
        <v>24</v>
      </c>
    </row>
    <row r="41" ht="30" customHeight="1">
      <c r="A41" s="2" t="inlineStr">
        <is>
          <t>Tabela do fornecedor em cm, medida em repouso, tolerância ± 2 cm. É a mesma tabela única dos produtos regulares Lunfe (M = 72 × 54, ombro 46, manga 18). Modelo das fotos: 1,84 m · 84 kg · veste M.</t>
        </is>
      </c>
    </row>
    <row r="42">
      <c r="A42" s="15" t="inlineStr">
        <is>
          <t>Modelo das fotos: 1,84 m · 84 kg · veste M</t>
        </is>
      </c>
    </row>
    <row r="44">
      <c r="A44" s="27" t="inlineStr">
        <is>
          <t>4. Cores disponíveis</t>
        </is>
      </c>
      <c r="B44" s="28" t="n"/>
      <c r="C44" s="28" t="n"/>
      <c r="D44" s="28" t="n"/>
      <c r="E44" s="28" t="n"/>
      <c r="F44" s="28" t="n"/>
    </row>
    <row r="45">
      <c r="A45" s="9" t="inlineStr">
        <is>
          <t>Cor</t>
        </is>
      </c>
      <c r="B45" s="9" t="inlineStr">
        <is>
          <t>Código HMZT</t>
        </is>
      </c>
      <c r="C45" s="9" t="inlineStr">
        <is>
          <t>Ref. fornecedor</t>
        </is>
      </c>
      <c r="D45" s="9" t="inlineStr">
        <is>
          <t>Observação</t>
        </is>
      </c>
    </row>
    <row r="46">
      <c r="A46" s="10" t="inlineStr">
        <is>
          <t>Preto</t>
        </is>
      </c>
      <c r="B46" s="10" t="inlineStr">
        <is>
          <t>PRT</t>
        </is>
      </c>
      <c r="C46" s="10" t="inlineStr">
        <is>
          <t>RBW-PRT</t>
        </is>
      </c>
      <c r="D46" s="10" t="inlineStr">
        <is>
          <t>Fotos #7–#9 (preto levemente azulado — confirmar se não é o Marinho)</t>
        </is>
      </c>
    </row>
    <row r="47">
      <c r="A47" s="10" t="inlineStr">
        <is>
          <t>Off White</t>
        </is>
      </c>
      <c r="B47" s="10" t="inlineStr">
        <is>
          <t>OFF</t>
        </is>
      </c>
      <c r="C47" s="10" t="inlineStr">
        <is>
          <t>RBW-OFW</t>
        </is>
      </c>
      <c r="D47" s="10" t="inlineStr">
        <is>
          <t>Fotos #1–#3; a textura aparece mais</t>
        </is>
      </c>
    </row>
    <row r="48">
      <c r="A48" s="10" t="inlineStr">
        <is>
          <t>Bege</t>
        </is>
      </c>
      <c r="B48" s="10" t="inlineStr">
        <is>
          <t>BGE</t>
        </is>
      </c>
      <c r="C48" s="10" t="inlineStr">
        <is>
          <t>RBW-BGE</t>
        </is>
      </c>
      <c r="D48" s="10" t="inlineStr">
        <is>
          <t>Só no texto; não aparece nas fotos</t>
        </is>
      </c>
    </row>
    <row r="49">
      <c r="A49" s="10" t="inlineStr">
        <is>
          <t>Marrom</t>
        </is>
      </c>
      <c r="B49" s="10" t="inlineStr">
        <is>
          <t>MRR</t>
        </is>
      </c>
      <c r="C49" s="10" t="inlineStr">
        <is>
          <t>RBW-MRR</t>
        </is>
      </c>
      <c r="D49" s="10" t="inlineStr">
        <is>
          <t>Fotos #4–#6 (marrom-chocolate escuro)</t>
        </is>
      </c>
    </row>
    <row r="50">
      <c r="A50" s="10" t="inlineStr">
        <is>
          <t>Marinho</t>
        </is>
      </c>
      <c r="B50" s="10" t="inlineStr">
        <is>
          <t>MAR</t>
        </is>
      </c>
      <c r="C50" s="10" t="inlineStr">
        <is>
          <t>RBW-MRN</t>
        </is>
      </c>
      <c r="D50" s="10" t="inlineStr">
        <is>
          <t>Só no texto</t>
        </is>
      </c>
    </row>
    <row r="51" ht="30" customHeight="1">
      <c r="A51" s="2" t="inlineStr">
        <is>
          <t>Texto: 5 cores. Página: produto esgotado, sem seletor. Fotos: off-white, marrom e preto. Pantone a partir de 100 pç/cor.</t>
        </is>
      </c>
    </row>
    <row r="53">
      <c r="A53" s="27" t="inlineStr">
        <is>
          <t>5. Personalização (preço sempre sob orçamento)</t>
        </is>
      </c>
      <c r="B53" s="28" t="n"/>
      <c r="C53" s="28" t="n"/>
      <c r="D53" s="28" t="n"/>
      <c r="E53" s="28" t="n"/>
      <c r="F53" s="28" t="n"/>
    </row>
    <row r="54">
      <c r="A54" s="9" t="inlineStr">
        <is>
          <t>Técnica</t>
        </is>
      </c>
      <c r="B54" s="9" t="inlineStr">
        <is>
          <t>Detalhe</t>
        </is>
      </c>
      <c r="C54" s="9" t="inlineStr">
        <is>
          <t>Mínimo</t>
        </is>
      </c>
    </row>
    <row r="55">
      <c r="A55" s="10" t="inlineStr">
        <is>
          <t>Silk screen</t>
        </is>
      </c>
      <c r="B55" s="10" t="inlineStr">
        <is>
          <t>Até 4 cores; a textura aparece sob a estampa (cobertura irregular nos vales) ⚠️ testar</t>
        </is>
      </c>
      <c r="C55" s="10" t="inlineStr">
        <is>
          <t>20 pç</t>
        </is>
      </c>
    </row>
    <row r="56">
      <c r="A56" s="10" t="inlineStr">
        <is>
          <t>DTF</t>
        </is>
      </c>
      <c r="B56" s="10" t="inlineStr">
        <is>
          <t>Full color; a prensa térmica pode achatar as nervuras ⚠️ testar pressão</t>
        </is>
      </c>
      <c r="C56" s="10" t="inlineStr">
        <is>
          <t>20 pç</t>
        </is>
      </c>
    </row>
    <row r="57">
      <c r="A57" s="10" t="inlineStr">
        <is>
          <t>Bordado</t>
        </is>
      </c>
      <c r="B57" s="10" t="inlineStr">
        <is>
          <t>Peito e mangas; usar entretela — o canelado pode franzir sob bordado denso</t>
        </is>
      </c>
      <c r="C57" s="10" t="inlineStr">
        <is>
          <t>20 pç</t>
        </is>
      </c>
    </row>
    <row r="58">
      <c r="A58" s="10" t="inlineStr">
        <is>
          <t>Etiqueta private label</t>
        </is>
      </c>
      <c r="B58" s="10" t="inlineStr">
        <is>
          <t>Etiqueta interna costurada + tag externa</t>
        </is>
      </c>
      <c r="C58" s="10" t="inlineStr">
        <is>
          <t>20 pç</t>
        </is>
      </c>
    </row>
    <row r="59">
      <c r="A59" s="10" t="inlineStr">
        <is>
          <t>Embalagem customizada</t>
        </is>
      </c>
      <c r="B59" s="10" t="inlineStr">
        <is>
          <t>Saco com logo, caixa premium, tag especial</t>
        </is>
      </c>
      <c r="C59" s="10" t="inlineStr">
        <is>
          <t>50 pç</t>
        </is>
      </c>
    </row>
    <row r="60">
      <c r="A60" s="10" t="inlineStr">
        <is>
          <t>Cor Pantone</t>
        </is>
      </c>
      <c r="B60" s="10" t="inlineStr">
        <is>
          <t>Tingimento exclusivo, 15–25 dias úteis</t>
        </is>
      </c>
      <c r="C60" s="10" t="inlineStr">
        <is>
          <t>100 pç/cor</t>
        </is>
      </c>
    </row>
    <row r="62">
      <c r="A62" s="27" t="inlineStr">
        <is>
          <t>6. Preços do fornecedor (desconto progressivo)</t>
        </is>
      </c>
      <c r="B62" s="28" t="n"/>
      <c r="C62" s="28" t="n"/>
      <c r="D62" s="28" t="n"/>
      <c r="E62" s="28" t="n"/>
      <c r="F62" s="28" t="n"/>
    </row>
    <row r="63">
      <c r="A63" s="24" t="inlineStr">
        <is>
          <t>Preço base (R$)</t>
        </is>
      </c>
      <c r="B63" s="31" t="n">
        <v>59</v>
      </c>
    </row>
    <row r="64">
      <c r="A64" s="17" t="inlineStr">
        <is>
          <t>Faixa</t>
        </is>
      </c>
      <c r="B64" s="17" t="inlineStr">
        <is>
          <t>Peças</t>
        </is>
      </c>
      <c r="C64" s="17" t="inlineStr">
        <is>
          <t>Desconto</t>
        </is>
      </c>
      <c r="D64" s="17" t="inlineStr">
        <is>
          <t>Preço unitário</t>
        </is>
      </c>
      <c r="E64" s="17" t="inlineStr">
        <is>
          <t>Preço + Pix</t>
        </is>
      </c>
    </row>
    <row r="65">
      <c r="A65" s="18" t="inlineStr">
        <is>
          <t>Faixa 1</t>
        </is>
      </c>
      <c r="B65" s="18" t="inlineStr">
        <is>
          <t>20–40</t>
        </is>
      </c>
      <c r="C65" s="32">
        <f>'Regras Fornecedor'!$D$4</f>
        <v/>
      </c>
      <c r="D65" s="33">
        <f>ROUND($B$63*(1-C65),2)</f>
        <v/>
      </c>
      <c r="E65" s="34">
        <f>ROUND(D65*(1-'Regras Fornecedor'!$B$10),2)</f>
        <v/>
      </c>
    </row>
    <row r="66">
      <c r="A66" s="18" t="inlineStr">
        <is>
          <t>Faixa 2</t>
        </is>
      </c>
      <c r="B66" s="18" t="inlineStr">
        <is>
          <t>40–80</t>
        </is>
      </c>
      <c r="C66" s="32">
        <f>'Regras Fornecedor'!$D$5</f>
        <v/>
      </c>
      <c r="D66" s="33">
        <f>ROUND($B$63*(1-C66),2)</f>
        <v/>
      </c>
      <c r="E66" s="34">
        <f>ROUND(D66*(1-'Regras Fornecedor'!$B$10),2)</f>
        <v/>
      </c>
    </row>
    <row r="67">
      <c r="A67" s="18" t="inlineStr">
        <is>
          <t>Faixa 3</t>
        </is>
      </c>
      <c r="B67" s="18" t="inlineStr">
        <is>
          <t>80–100</t>
        </is>
      </c>
      <c r="C67" s="32">
        <f>'Regras Fornecedor'!$D$6</f>
        <v/>
      </c>
      <c r="D67" s="33">
        <f>ROUND($B$63*(1-C67),2)</f>
        <v/>
      </c>
      <c r="E67" s="34">
        <f>ROUND(D67*(1-'Regras Fornecedor'!$B$10),2)</f>
        <v/>
      </c>
    </row>
    <row r="68">
      <c r="A68" s="18" t="inlineStr">
        <is>
          <t>Faixa 4</t>
        </is>
      </c>
      <c r="B68" s="18" t="inlineStr">
        <is>
          <t>100–300</t>
        </is>
      </c>
      <c r="C68" s="32">
        <f>'Regras Fornecedor'!$D$7</f>
        <v/>
      </c>
      <c r="D68" s="33">
        <f>ROUND($B$63*(1-C68),2)</f>
        <v/>
      </c>
      <c r="E68" s="34">
        <f>ROUND(D68*(1-'Regras Fornecedor'!$B$10),2)</f>
        <v/>
      </c>
    </row>
    <row r="69">
      <c r="A69" s="18" t="inlineStr">
        <is>
          <t>Faixa 5</t>
        </is>
      </c>
      <c r="B69" s="18" t="inlineStr">
        <is>
          <t>300–999</t>
        </is>
      </c>
      <c r="C69" s="32">
        <f>'Regras Fornecedor'!$D$8</f>
        <v/>
      </c>
      <c r="D69" s="33">
        <f>ROUND($B$63*(1-C69),2)</f>
        <v/>
      </c>
      <c r="E69" s="34">
        <f>ROUND(D69*(1-'Regras Fornecedor'!$B$10),2)</f>
        <v/>
      </c>
    </row>
    <row r="71">
      <c r="A71" s="27" t="inlineStr">
        <is>
          <t>7. Custo HMZT e margem (lote de 20 peças, Pix)</t>
        </is>
      </c>
      <c r="B71" s="28" t="n"/>
      <c r="C71" s="28" t="n"/>
      <c r="D71" s="28" t="n"/>
      <c r="E71" s="28" t="n"/>
      <c r="F71" s="28" t="n"/>
    </row>
    <row r="72">
      <c r="A72" s="24" t="inlineStr">
        <is>
          <t>Peça (20 pç, Pix)</t>
        </is>
      </c>
      <c r="B72" s="35">
        <f>E65</f>
        <v/>
      </c>
    </row>
    <row r="73">
      <c r="A73" s="24" t="inlineStr">
        <is>
          <t>Personalização + etiqueta + tag (R$/pç)</t>
        </is>
      </c>
      <c r="B73" s="36" t="n">
        <v>10</v>
      </c>
      <c r="C73" s="15" t="inlineStr">
        <is>
          <t>Estimativa HMZT — trocar pelo orçamento real</t>
        </is>
      </c>
    </row>
    <row r="74">
      <c r="A74" s="24" t="inlineStr">
        <is>
          <t>Frete rateado + embalagem (R$/pç)</t>
        </is>
      </c>
      <c r="B74" s="36" t="n">
        <v>4</v>
      </c>
      <c r="C74" s="15" t="inlineStr">
        <is>
          <t>Estimativa HMZT — trocar pelo orçamento real</t>
        </is>
      </c>
    </row>
    <row r="75">
      <c r="A75" s="24" t="inlineStr">
        <is>
          <t>Custo unitário estimado</t>
        </is>
      </c>
      <c r="B75" s="37">
        <f>SUM(B72:B74)</f>
        <v/>
      </c>
    </row>
    <row r="76">
      <c r="A76" s="24" t="inlineStr">
        <is>
          <t>Preço de venda HMZT (R$)</t>
        </is>
      </c>
      <c r="B76" s="36" t="n">
        <v>149</v>
      </c>
      <c r="C76" s="15" t="inlineStr">
        <is>
          <t>Sugestão do dossiê — ajustar</t>
        </is>
      </c>
    </row>
    <row r="77">
      <c r="A77" s="24" t="inlineStr">
        <is>
          <t>Impostos + gateway (% do preço)</t>
        </is>
      </c>
      <c r="B77" s="38" t="n">
        <v>0</v>
      </c>
      <c r="C77" s="15" t="inlineStr">
        <is>
          <t>A preencher (Simples + taxa Asaas)</t>
        </is>
      </c>
    </row>
    <row r="78">
      <c r="A78" s="24" t="inlineStr">
        <is>
          <t>Margem bruta (R$)</t>
        </is>
      </c>
      <c r="B78" s="35">
        <f>B76-B75</f>
        <v/>
      </c>
    </row>
    <row r="79">
      <c r="A79" s="24" t="inlineStr">
        <is>
          <t>Margem bruta (%)</t>
        </is>
      </c>
      <c r="B79" s="39">
        <f>IF(B76=0,0,(B76-B75)/B76)</f>
        <v/>
      </c>
    </row>
    <row r="80">
      <c r="A80" s="24" t="inlineStr">
        <is>
          <t>Margem após impostos/gateway (%)</t>
        </is>
      </c>
      <c r="B80" s="39">
        <f>IF(B76=0,0,(B76*(1-B77)-B75)/B76)</f>
        <v/>
      </c>
      <c r="C80" s="15" t="inlineStr">
        <is>
          <t>Ainda sem frete ao cliente e mídia</t>
        </is>
      </c>
    </row>
    <row r="82">
      <c r="A82" s="27" t="inlineStr">
        <is>
          <t>8. Contradições e erros ⚠️</t>
        </is>
      </c>
      <c r="B82" s="28" t="n"/>
      <c r="C82" s="28" t="n"/>
      <c r="D82" s="28" t="n"/>
      <c r="E82" s="28" t="n"/>
      <c r="F82" s="28" t="n"/>
    </row>
    <row r="83">
      <c r="A83" s="8" t="inlineStr">
        <is>
          <t>⚠️ Estoque: página diz "Esse acabou"; FAQ diz 5 cores em estoque com despacho em 24h.</t>
        </is>
      </c>
    </row>
    <row r="84">
      <c r="A84" s="8" t="inlineStr">
        <is>
          <t>⚠️ Composição confirmada 52% algodão / 48% poliéster, base R$ 59,00 — bate com o texto do P04 e com a Plissé/Ripple/Waffle; a Piqué é outra composição (51% poliéster / 49% algodão).</t>
        </is>
      </c>
    </row>
    <row r="85">
      <c r="A85" s="8" t="inlineStr">
        <is>
          <t>⚠️ "Produzida por tecelagem": malha é tricô (knit), não tecelagem (tecido plano). Erro técnico repetido em toda a linha.</t>
        </is>
      </c>
    </row>
    <row r="86">
      <c r="A86" s="8" t="inlineStr">
        <is>
          <t>⚠️ Fotos × texto: o texto descreve nervuras regulares de 4–6 mm; as fotos mostram colunas de larguras variadas com grão horizontal (visual de tricô). Pedir amostra.</t>
        </is>
      </c>
    </row>
    <row r="87">
      <c r="A87" s="8" t="inlineStr">
        <is>
          <t>⚠️ O comparativo cita uma "Ottoman Texture 240g" (51% poliéster / 49% algodão, R$ 59,00) que não foi catalogada.</t>
        </is>
      </c>
    </row>
    <row r="88">
      <c r="A88" s="8" t="inlineStr">
        <is>
          <t>⚠️ "Algodão premium importado" sem origem — o algodão importado da Lunfe nos P05/P06 é de Xinjiang.</t>
        </is>
      </c>
    </row>
    <row r="89">
      <c r="A89" s="8" t="inlineStr">
        <is>
          <t>⚠️ Visualmente muito parecida com a Plissé (P19): as duas são verticais e largas; risco de canibalização se lançar as duas.</t>
        </is>
      </c>
    </row>
    <row r="91">
      <c r="A91" s="27" t="inlineStr">
        <is>
          <t>9. Comunicação HMZT</t>
        </is>
      </c>
      <c r="B91" s="28" t="n"/>
      <c r="C91" s="28" t="n"/>
      <c r="D91" s="28" t="n"/>
      <c r="E91" s="28" t="n"/>
      <c r="F91" s="28" t="n"/>
    </row>
    <row r="92">
      <c r="A92" s="24" t="inlineStr">
        <is>
          <t>✅ Pode usar</t>
        </is>
      </c>
      <c r="D92" s="24" t="inlineStr">
        <is>
          <t>📣 / ⛔ Não usar</t>
        </is>
      </c>
    </row>
    <row r="93">
      <c r="A93" s="40" t="inlineStr">
        <is>
          <t>"Malha canelada larga vertical, 240 g/m²."</t>
        </is>
      </c>
      <c r="D93" s="8" t="inlineStr">
        <is>
          <t>"Algodão premium importado" — origem não informada; o algodão importado da Lunfe é de Xinjiang nos P05/P06 (risco de marca)</t>
        </is>
      </c>
    </row>
    <row r="94">
      <c r="A94" s="40" t="inlineStr">
        <is>
          <t>"52% algodão, 48% poliéster" — sempre por extenso.</t>
        </is>
      </c>
      <c r="D94" s="8" t="inlineStr">
        <is>
          <t>"Ticket 40–60% acima da lisa", "margem real", "sustenta preço premium"</t>
        </is>
      </c>
    </row>
    <row r="95">
      <c r="A95" s="40" t="inlineStr">
        <is>
          <t>"Textura no próprio tecido: a peça se diferencia sem estampa."</t>
        </is>
      </c>
      <c r="D95" s="8" t="inlineStr">
        <is>
          <t>"Categoria que está redefinindo o mercado", "dominando o mercado premium"</t>
        </is>
      </c>
    </row>
    <row r="96">
      <c r="A96" s="40" t="inlineStr">
        <is>
          <t>"Caimento estruturado, não cola no corpo."</t>
        </is>
      </c>
      <c r="D96" s="8" t="inlineStr">
        <is>
          <t>"O cliente toca, não solta, compra" e demais afirmações de conversão sem fonte</t>
        </is>
      </c>
    </row>
    <row r="97">
      <c r="A97" s="40" t="inlineStr">
        <is>
          <t>"Pré-encolhida, com tratamento anti-torção."</t>
        </is>
      </c>
      <c r="D97" s="8" t="inlineStr">
        <is>
          <t>"Textura permanente por toda a vida útil" (sem laudo)</t>
        </is>
      </c>
    </row>
    <row r="98">
      <c r="A98" s="40" t="inlineStr">
        <is>
          <t>"Fabricada em Santa Catarina."</t>
        </is>
      </c>
      <c r="D98" s="8" t="inlineStr">
        <is>
          <t>"Coleção texturizada mais completa do mercado atacadista brasileiro"</t>
        </is>
      </c>
    </row>
    <row r="99">
      <c r="D99" s="8" t="inlineStr">
        <is>
          <t>"Linhas verticais afinam e alongam — ilusão óptica comprovada"</t>
        </is>
      </c>
    </row>
    <row r="100">
      <c r="D100" s="8" t="inlineStr">
        <is>
          <t>"Peça de alfaiataria casual", "polo de luxo", "peça de grife"</t>
        </is>
      </c>
    </row>
    <row r="101">
      <c r="D101" s="8" t="inlineStr">
        <is>
          <t>"Sem concorrência na arara"</t>
        </is>
      </c>
    </row>
    <row r="103">
      <c r="A103" s="27" t="inlineStr">
        <is>
          <t>10. Pendências com o fornecedor</t>
        </is>
      </c>
      <c r="B103" s="28" t="n"/>
      <c r="C103" s="28" t="n"/>
      <c r="D103" s="28" t="n"/>
      <c r="E103" s="28" t="n"/>
      <c r="F103" s="28" t="n"/>
    </row>
    <row r="104">
      <c r="A104" s="9" t="inlineStr">
        <is>
          <t>Pendência</t>
        </is>
      </c>
      <c r="B104" s="9" t="inlineStr">
        <is>
          <t>Status</t>
        </is>
      </c>
      <c r="C104" s="9" t="inlineStr">
        <is>
          <t>Responsável</t>
        </is>
      </c>
      <c r="D104" s="9" t="inlineStr">
        <is>
          <t>Resposta</t>
        </is>
      </c>
    </row>
    <row r="105">
      <c r="A105" s="10" t="inlineStr">
        <is>
          <t>Reposição e cartela real (página esgotada × FAQ em estoque)</t>
        </is>
      </c>
      <c r="B105" s="11" t="inlineStr">
        <is>
          <t>Aberta</t>
        </is>
      </c>
      <c r="C105" s="11" t="inlineStr"/>
      <c r="D105" s="11" t="inlineStr"/>
    </row>
    <row r="106">
      <c r="A106" s="10" t="inlineStr">
        <is>
          <t>Origem do "algodão premium importado" (Xinjiang?)</t>
        </is>
      </c>
      <c r="B106" s="11" t="inlineStr">
        <is>
          <t>Aberta</t>
        </is>
      </c>
      <c r="C106" s="11" t="inlineStr"/>
      <c r="D106" s="11" t="inlineStr"/>
    </row>
    <row r="107">
      <c r="A107" s="10" t="inlineStr">
        <is>
          <t>Amostra física: largura real das nervuras e aspecto (as fotos parecem jacquard irregular)</t>
        </is>
      </c>
      <c r="B107" s="11" t="inlineStr">
        <is>
          <t>Aberta</t>
        </is>
      </c>
      <c r="C107" s="11" t="inlineStr"/>
      <c r="D107" s="11" t="inlineStr"/>
    </row>
    <row r="108">
      <c r="A108" s="10" t="inlineStr">
        <is>
          <t>Preto das fotos #7–#9 é Preto ou Marinho?</t>
        </is>
      </c>
      <c r="B108" s="11" t="inlineStr">
        <is>
          <t>Aberta</t>
        </is>
      </c>
      <c r="C108" s="11" t="inlineStr"/>
      <c r="D108" s="11" t="inlineStr"/>
    </row>
    <row r="109">
      <c r="A109" s="10" t="inlineStr">
        <is>
          <t>Orçamento: bordado peito, etiqueta, tag; teste de DTF sobre o canelado</t>
        </is>
      </c>
      <c r="B109" s="11" t="inlineStr">
        <is>
          <t>Aberta</t>
        </is>
      </c>
      <c r="C109" s="11" t="inlineStr"/>
      <c r="D109" s="11" t="inlineStr"/>
    </row>
    <row r="110">
      <c r="A110" s="10" t="inlineStr">
        <is>
          <t>Existe a Ottoman Texture 240g? Página e fotos</t>
        </is>
      </c>
      <c r="B110" s="11" t="inlineStr">
        <is>
          <t>Aberta</t>
        </is>
      </c>
      <c r="C110" s="11" t="inlineStr"/>
      <c r="D110" s="11" t="inlineStr"/>
    </row>
    <row r="112">
      <c r="A112" s="27" t="inlineStr">
        <is>
          <t>11. Fluxo de prompts de lookbook (docs/shop-confeccao/prompts/P18-prompts.md)</t>
        </is>
      </c>
      <c r="B112" s="28" t="n"/>
      <c r="C112" s="28" t="n"/>
      <c r="D112" s="28" t="n"/>
      <c r="E112" s="28" t="n"/>
      <c r="F112" s="28" t="n"/>
    </row>
    <row r="113">
      <c r="A113" s="9" t="inlineStr">
        <is>
          <t>Foto</t>
        </is>
      </c>
      <c r="B113" s="9" t="inlineStr">
        <is>
          <t>Origem no print</t>
        </is>
      </c>
      <c r="C113" s="9" t="inlineStr">
        <is>
          <t>Formato</t>
        </is>
      </c>
      <c r="D113" s="9" t="inlineStr">
        <is>
          <t>Status</t>
        </is>
      </c>
    </row>
    <row r="114">
      <c r="A114" s="10" t="inlineStr">
        <is>
          <t>F1 — Frontal recortado (off-white)</t>
        </is>
      </c>
      <c r="B114" s="10" t="inlineStr">
        <is>
          <t>Origem: foto #1 da galeria (off-white, frontal, cabeça cortada na altura do nariz, braços soltos, jeans claro rasgado)</t>
        </is>
      </c>
      <c r="C114" s="10" t="inlineStr">
        <is>
          <t>4:5</t>
        </is>
      </c>
      <c r="D114" s="11" t="inlineStr">
        <is>
          <t>A gerar</t>
        </is>
      </c>
    </row>
    <row r="115">
      <c r="A115" s="10" t="inlineStr">
        <is>
          <t>F2 — Detalhe gola, ombro e manga (off-white)</t>
        </is>
      </c>
      <c r="B115" s="10" t="inlineStr">
        <is>
          <t>Origem: foto #2 da galeria (off-white, recorte dos lábios ao peito, gola e manga à direita)</t>
        </is>
      </c>
      <c r="C115" s="10" t="inlineStr">
        <is>
          <t>4:5</t>
        </is>
      </c>
      <c r="D115" s="11" t="inlineStr">
        <is>
          <t>A gerar</t>
        </is>
      </c>
    </row>
    <row r="116">
      <c r="A116" s="10" t="inlineStr">
        <is>
          <t>F3 — 3/4 ajustando o bracelete (off-white)</t>
        </is>
      </c>
      <c r="B116" s="10" t="inlineStr">
        <is>
          <t>Origem: foto #3 da galeria (off-white, leve 3/4, rosto cortado no nariz, mão direita segurando o pulso esquerdo)</t>
        </is>
      </c>
      <c r="C116" s="10" t="inlineStr">
        <is>
          <t>4:5</t>
        </is>
      </c>
      <c r="D116" s="11" t="inlineStr">
        <is>
          <t>A gerar</t>
        </is>
      </c>
    </row>
    <row r="117">
      <c r="A117" s="10" t="inlineStr">
        <is>
          <t>F4 — Frontal braços soltos (marrom)</t>
        </is>
      </c>
      <c r="B117" s="10" t="inlineStr">
        <is>
          <t>Origem: foto #4 da galeria (marrom-chocolate, frontal, olhar para a câmera, calça off-white) — para reproduzir, troque a cor por 'dark chocolate brown' e a calça por 'off-white cream straight trousers'</t>
        </is>
      </c>
      <c r="C117" s="10" t="inlineStr">
        <is>
          <t>4:5</t>
        </is>
      </c>
      <c r="D117" s="11" t="inlineStr">
        <is>
          <t>A gerar</t>
        </is>
      </c>
    </row>
    <row r="118">
      <c r="A118" s="10" t="inlineStr">
        <is>
          <t>F5 — Frontal mãos juntas (marrom)</t>
        </is>
      </c>
      <c r="B118" s="10" t="inlineStr">
        <is>
          <t>Origem: foto #5 da galeria (marrom, frontal, mãos juntas na cintura) — cor original 'dark chocolate brown', calça off-white</t>
        </is>
      </c>
      <c r="C118" s="10" t="inlineStr">
        <is>
          <t>4:5</t>
        </is>
      </c>
      <c r="D118" s="11" t="inlineStr">
        <is>
          <t>A gerar</t>
        </is>
      </c>
    </row>
    <row r="119">
      <c r="A119" s="10" t="inlineStr">
        <is>
          <t>F6 — Detalhe pinçando a manga (marrom)</t>
        </is>
      </c>
      <c r="B119" s="10" t="inlineStr">
        <is>
          <t>Origem: foto #6 da galeria (marrom, recorte da boca ao peito, mão pinçando a barra da manga)</t>
        </is>
      </c>
      <c r="C119" s="10" t="inlineStr">
        <is>
          <t>4:5</t>
        </is>
      </c>
      <c r="D119" s="11" t="inlineStr">
        <is>
          <t>A gerar</t>
        </is>
      </c>
    </row>
    <row r="120">
      <c r="A120" s="10" t="inlineStr">
        <is>
          <t>F7 — Frontal braços soltos (preto)</t>
        </is>
      </c>
      <c r="B120" s="10" t="inlineStr">
        <is>
          <t>Origem: foto #7 da galeria (preto, frontal, braços soltos, calça off-white) — cor original 'black'</t>
        </is>
      </c>
      <c r="C120" s="10" t="inlineStr">
        <is>
          <t>4:5</t>
        </is>
      </c>
      <c r="D120" s="11" t="inlineStr">
        <is>
          <t>A gerar</t>
        </is>
      </c>
    </row>
    <row r="121">
      <c r="A121" s="10" t="inlineStr">
        <is>
          <t>F8 — Detalhe gola e ombro (preto)</t>
        </is>
      </c>
      <c r="B121" s="10" t="inlineStr">
        <is>
          <t>Origem: foto #8 da galeria (preto, recorte do nariz ao peito, gola, ombro e manga)</t>
        </is>
      </c>
      <c r="C121" s="10" t="inlineStr">
        <is>
          <t>4:5</t>
        </is>
      </c>
      <c r="D121" s="11" t="inlineStr">
        <is>
          <t>A gerar</t>
        </is>
      </c>
    </row>
    <row r="122">
      <c r="A122" s="10" t="inlineStr">
        <is>
          <t>F9 — Mão no pescoço (preto)</t>
        </is>
      </c>
      <c r="B122" s="10" t="inlineStr">
        <is>
          <t>Origem: foto #9 da galeria (preto, mão direita erguida tocando o pescoço, cotovelo para fora)</t>
        </is>
      </c>
      <c r="C122" s="10" t="inlineStr">
        <is>
          <t>4:5</t>
        </is>
      </c>
      <c r="D122" s="11" t="inlineStr">
        <is>
          <t>A gerar</t>
        </is>
      </c>
    </row>
    <row r="123">
      <c r="A123" s="10" t="inlineStr">
        <is>
          <t>F10 — Macro da textura</t>
        </is>
      </c>
      <c r="B123" s="10" t="inlineStr">
        <is>
          <t>Origem: derivado dos detalhes #2, #6 e #8 — close só do tecido para mostrar o canelado</t>
        </is>
      </c>
      <c r="C123" s="10" t="inlineStr">
        <is>
          <t>4:5</t>
        </is>
      </c>
      <c r="D123" s="11" t="inlineStr">
        <is>
          <t>A gerar</t>
        </is>
      </c>
    </row>
  </sheetData>
  <mergeCells count="50">
    <mergeCell ref="B4:F4"/>
    <mergeCell ref="A41:F41"/>
    <mergeCell ref="B7:F7"/>
    <mergeCell ref="A84:F84"/>
    <mergeCell ref="B30:E30"/>
    <mergeCell ref="A89:F89"/>
    <mergeCell ref="B15:E15"/>
    <mergeCell ref="D97:F97"/>
    <mergeCell ref="B24:E24"/>
    <mergeCell ref="B20:E20"/>
    <mergeCell ref="A86:F86"/>
    <mergeCell ref="A95:C95"/>
    <mergeCell ref="B32:E32"/>
    <mergeCell ref="B26:E26"/>
    <mergeCell ref="A85:F85"/>
    <mergeCell ref="B11:F11"/>
    <mergeCell ref="D93:F93"/>
    <mergeCell ref="B16:E16"/>
    <mergeCell ref="A97:C97"/>
    <mergeCell ref="B25:E25"/>
    <mergeCell ref="B8:F8"/>
    <mergeCell ref="A96:C96"/>
    <mergeCell ref="B22:E22"/>
    <mergeCell ref="B31:E31"/>
    <mergeCell ref="B18:E18"/>
    <mergeCell ref="B27:E27"/>
    <mergeCell ref="D98:F98"/>
    <mergeCell ref="A93:C93"/>
    <mergeCell ref="B10:F10"/>
    <mergeCell ref="D94:F94"/>
    <mergeCell ref="B21:E21"/>
    <mergeCell ref="A83:F83"/>
    <mergeCell ref="D100:F100"/>
    <mergeCell ref="B9:F9"/>
    <mergeCell ref="B17:E17"/>
    <mergeCell ref="B23:E23"/>
    <mergeCell ref="A51:F51"/>
    <mergeCell ref="A98:C98"/>
    <mergeCell ref="B6:F6"/>
    <mergeCell ref="D99:F99"/>
    <mergeCell ref="A94:C94"/>
    <mergeCell ref="B5:F5"/>
    <mergeCell ref="B29:E29"/>
    <mergeCell ref="A88:F88"/>
    <mergeCell ref="D96:F96"/>
    <mergeCell ref="B19:E19"/>
    <mergeCell ref="D101:F101"/>
    <mergeCell ref="B28:E28"/>
    <mergeCell ref="A87:F87"/>
    <mergeCell ref="D95:F95"/>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23"/>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P19 — Camiseta Plissé Texture 240g — canelado vertical largo acetinado</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HMZT-P19-REG-PLS240</t>
        </is>
      </c>
    </row>
    <row r="5">
      <c r="A5" s="24" t="inlineStr">
        <is>
          <t>Fornecedor</t>
        </is>
      </c>
      <c r="B5" s="2" t="inlineStr">
        <is>
          <t>Lunfe Malhas — fabricação própria, Itajaí-SC</t>
        </is>
      </c>
    </row>
    <row r="6">
      <c r="A6" s="24" t="inlineStr">
        <is>
          <t>Referência</t>
        </is>
      </c>
      <c r="B6" s="2" t="inlineStr">
        <is>
          <t>7899881942508 (EAN-13)</t>
        </is>
      </c>
    </row>
    <row r="7">
      <c r="A7" s="24" t="inlineStr">
        <is>
          <t>URL</t>
        </is>
      </c>
      <c r="B7" s="2" t="inlineStr">
        <is>
          <t>lunfemalhas.com.br/camiseta-plisse-texture-240g-atacado-lunfe</t>
        </is>
      </c>
    </row>
    <row r="8">
      <c r="A8" s="24" t="inlineStr">
        <is>
          <t>Categoria no site</t>
        </is>
      </c>
      <c r="B8" s="2" t="inlineStr">
        <is>
          <t>Camisetas › Malhas Texturizadas</t>
        </is>
      </c>
    </row>
    <row r="9">
      <c r="A9" s="24" t="inlineStr">
        <is>
          <t>Linha HMZT recomendada</t>
        </is>
      </c>
      <c r="B9" s="2" t="inlineStr">
        <is>
          <t>Textura (nova) — cápsula noturna / drop</t>
        </is>
      </c>
    </row>
    <row r="10">
      <c r="A10" s="24" t="inlineStr">
        <is>
          <t>Estoque</t>
        </is>
      </c>
      <c r="B10" s="2" t="inlineStr">
        <is>
          <t>✅ Em estoque — seletor mostra só Cinza e Preto; preço exibido R$ 53,10 (já com −10%)</t>
        </is>
      </c>
    </row>
    <row r="11">
      <c r="A11" s="24" t="inlineStr">
        <is>
          <t>Descritor canônico (IA)</t>
        </is>
      </c>
      <c r="B11" s="2" t="inlineStr">
        <is>
          <t>Camiseta masculina regular fit, manga curta, malha texturizada 240 g/m² com canais verticais largos (5–8 mm) e regulares, faces planas com brilho acetinado suave e sulcos finos escuros, do ombro à barra e nas mangas; gola careca em faixa lisa fosca; barra dupla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52% algodão + 48% poliéster</t>
        </is>
      </c>
      <c r="C15" s="29" t="n"/>
      <c r="D15" s="29" t="n"/>
      <c r="E15" s="30" t="n"/>
    </row>
    <row r="16">
      <c r="A16" s="10" t="inlineStr">
        <is>
          <t>Origem do algodão</t>
        </is>
      </c>
      <c r="B16" s="10" t="inlineStr">
        <is>
          <t>"Algodão premium importado" — origem não informada</t>
        </is>
      </c>
      <c r="C16" s="29" t="n"/>
      <c r="D16" s="29" t="n"/>
      <c r="E16" s="30" t="n"/>
    </row>
    <row r="17">
      <c r="A17" s="10" t="inlineStr">
        <is>
          <t>Gramatura</t>
        </is>
      </c>
      <c r="B17" s="10" t="inlineStr">
        <is>
          <t>240 g/m²</t>
        </is>
      </c>
      <c r="C17" s="29" t="n"/>
      <c r="D17" s="29" t="n"/>
      <c r="E17" s="30" t="n"/>
    </row>
    <row r="18">
      <c r="A18" s="10" t="inlineStr">
        <is>
          <t>Textura</t>
        </is>
      </c>
      <c r="B18" s="10" t="inlineStr">
        <is>
          <t>Plissé — canais verticais largos de 5–8 mm, regulares, com brilho acetinado</t>
        </is>
      </c>
      <c r="C18" s="29" t="n"/>
      <c r="D18" s="29" t="n"/>
      <c r="E18" s="30" t="n"/>
    </row>
    <row r="19">
      <c r="A19" s="10" t="inlineStr">
        <is>
          <t>Construção</t>
        </is>
      </c>
      <c r="B19" s="10" t="inlineStr">
        <is>
          <t>Malha (tricô) texturizada — o texto chama de "tecelagem", termo errado para malha</t>
        </is>
      </c>
      <c r="C19" s="29" t="n"/>
      <c r="D19" s="29" t="n"/>
      <c r="E19" s="30" t="n"/>
    </row>
    <row r="20">
      <c r="A20" s="10" t="inlineStr">
        <is>
          <t>Modelagem</t>
        </is>
      </c>
      <c r="B20" s="10" t="inlineStr">
        <is>
          <t>Regular fit</t>
        </is>
      </c>
      <c r="C20" s="29" t="n"/>
      <c r="D20" s="29" t="n"/>
      <c r="E20" s="30" t="n"/>
    </row>
    <row r="21">
      <c r="A21" s="10" t="inlineStr">
        <is>
          <t>Gola</t>
        </is>
      </c>
      <c r="B21" s="10" t="inlineStr">
        <is>
          <t>Ribana lisa, acabamento clean (faixa lisa, sem canelado aparente)</t>
        </is>
      </c>
      <c r="C21" s="29" t="n"/>
      <c r="D21" s="29" t="n"/>
      <c r="E21" s="30" t="n"/>
    </row>
    <row r="22">
      <c r="A22" s="10" t="inlineStr">
        <is>
          <t>Acabamentos</t>
        </is>
      </c>
      <c r="B22" s="10" t="inlineStr">
        <is>
          <t>Costura reforçada em todas as emendas; barra dupla</t>
        </is>
      </c>
      <c r="C22" s="29" t="n"/>
      <c r="D22" s="29" t="n"/>
      <c r="E22" s="30" t="n"/>
    </row>
    <row r="23">
      <c r="A23" s="10" t="inlineStr">
        <is>
          <t>Tratamentos</t>
        </is>
      </c>
      <c r="B23" s="10" t="inlineStr">
        <is>
          <t>Pré-encolhimento, anti-torção, fixação de cor de alta solidez</t>
        </is>
      </c>
      <c r="C23" s="29" t="n"/>
      <c r="D23" s="29" t="n"/>
      <c r="E23" s="30" t="n"/>
    </row>
    <row r="24">
      <c r="A24" s="10" t="inlineStr">
        <is>
          <t>Tamanhos</t>
        </is>
      </c>
      <c r="B24" s="10" t="inlineStr">
        <is>
          <t>P, M, G, GG, EG (5)</t>
        </is>
      </c>
      <c r="C24" s="29" t="n"/>
      <c r="D24" s="29" t="n"/>
      <c r="E24" s="30" t="n"/>
    </row>
    <row r="25">
      <c r="A25" s="10" t="inlineStr">
        <is>
          <t>Cuidados</t>
        </is>
      </c>
      <c r="B25" s="10" t="inlineStr">
        <is>
          <t>Lavar do avesso, ciclo delicado, 30 °C</t>
        </is>
      </c>
      <c r="C25" s="29" t="n"/>
      <c r="D25" s="29" t="n"/>
      <c r="E25" s="30" t="n"/>
    </row>
    <row r="26">
      <c r="A26" s="10" t="inlineStr">
        <is>
          <t>Produção</t>
        </is>
      </c>
      <c r="B26" s="10" t="inlineStr">
        <is>
          <t>Fabricação própria Lunfe — Itajaí, SC</t>
        </is>
      </c>
      <c r="C26" s="29" t="n"/>
      <c r="D26" s="29" t="n"/>
      <c r="E26" s="30" t="n"/>
    </row>
    <row r="27">
      <c r="A27" s="10" t="inlineStr">
        <is>
          <t>Nota fiscal</t>
        </is>
      </c>
      <c r="B27" s="10" t="inlineStr">
        <is>
          <t>NF-e com CFOP de revenda (Simples, Presumido, Real)</t>
        </is>
      </c>
      <c r="C27" s="29" t="n"/>
      <c r="D27" s="29" t="n"/>
      <c r="E27" s="30" t="n"/>
    </row>
    <row r="28">
      <c r="A28" s="10" t="inlineStr">
        <is>
          <t>"Textura permanente, não some na lavagem"</t>
        </is>
      </c>
      <c r="B28" s="10" t="inlineStr">
        <is>
          <t>Sem laudo de teste de lavagem</t>
        </is>
      </c>
      <c r="C28" s="29" t="n"/>
      <c r="D28" s="29" t="n"/>
      <c r="E28" s="30" t="n"/>
    </row>
    <row r="29">
      <c r="A29" s="10" t="inlineStr">
        <is>
          <t>"Ticket 40–60% acima da lisa"</t>
        </is>
      </c>
      <c r="B29" s="10" t="inlineStr">
        <is>
          <t>Sem fonte</t>
        </is>
      </c>
      <c r="C29" s="29" t="n"/>
      <c r="D29" s="29" t="n"/>
      <c r="E29" s="30" t="n"/>
    </row>
    <row r="30">
      <c r="A30" s="10" t="inlineStr">
        <is>
          <t>Brilho</t>
        </is>
      </c>
      <c r="B30" s="10" t="inlineStr">
        <is>
          <t>Acetinado (semi-lustroso) nos canais; gola fosca</t>
        </is>
      </c>
      <c r="C30" s="29" t="n"/>
      <c r="D30" s="29" t="n"/>
      <c r="E30" s="30" t="n"/>
    </row>
    <row r="31">
      <c r="A31" s="10" t="inlineStr">
        <is>
          <t>"Brilho estrutural, pela orientação das fibras de poliéster, como o cetim"</t>
        </is>
      </c>
      <c r="B31" s="10" t="inlineStr">
        <is>
          <t>Explicação sem base técnica demonstrada; sem teste de lavagem</t>
        </is>
      </c>
      <c r="C31" s="29" t="n"/>
      <c r="D31" s="29" t="n"/>
      <c r="E31" s="30" t="n"/>
    </row>
    <row r="32">
      <c r="A32" s="10" t="inlineStr">
        <is>
          <t>Nome "plissé"</t>
        </is>
      </c>
      <c r="B32" s="10" t="inlineStr">
        <is>
          <t>Não é plissado termofixado; é um canelado largo regular (as fotos confirmam)</t>
        </is>
      </c>
      <c r="C32" s="29" t="n"/>
      <c r="D32" s="29" t="n"/>
      <c r="E32" s="30" t="n"/>
    </row>
    <row r="34">
      <c r="A34" s="27" t="inlineStr">
        <is>
          <t>3. Tabela de medidas (cm)</t>
        </is>
      </c>
      <c r="B34" s="28" t="n"/>
      <c r="C34" s="28" t="n"/>
      <c r="D34" s="28" t="n"/>
      <c r="E34" s="28" t="n"/>
      <c r="F34" s="28" t="n"/>
    </row>
    <row r="35">
      <c r="A35" s="9" t="inlineStr">
        <is>
          <t>Tamanho</t>
        </is>
      </c>
      <c r="B35" s="9" t="inlineStr">
        <is>
          <t>Comprimento</t>
        </is>
      </c>
      <c r="C35" s="9" t="inlineStr">
        <is>
          <t>Largura</t>
        </is>
      </c>
      <c r="D35" s="9" t="inlineStr">
        <is>
          <t>Ombros</t>
        </is>
      </c>
      <c r="E35" s="9" t="inlineStr">
        <is>
          <t>Mangas</t>
        </is>
      </c>
    </row>
    <row r="36">
      <c r="A36" s="10" t="inlineStr">
        <is>
          <t>P</t>
        </is>
      </c>
      <c r="B36" s="11" t="n">
        <v>70</v>
      </c>
      <c r="C36" s="11" t="n">
        <v>52</v>
      </c>
      <c r="D36" s="11" t="n">
        <v>44</v>
      </c>
      <c r="E36" s="11" t="n">
        <v>16</v>
      </c>
    </row>
    <row r="37">
      <c r="A37" s="10" t="inlineStr">
        <is>
          <t>M</t>
        </is>
      </c>
      <c r="B37" s="11" t="n">
        <v>72</v>
      </c>
      <c r="C37" s="11" t="n">
        <v>54</v>
      </c>
      <c r="D37" s="11" t="n">
        <v>46</v>
      </c>
      <c r="E37" s="11" t="n">
        <v>18</v>
      </c>
    </row>
    <row r="38">
      <c r="A38" s="10" t="inlineStr">
        <is>
          <t>G</t>
        </is>
      </c>
      <c r="B38" s="11" t="n">
        <v>74</v>
      </c>
      <c r="C38" s="11" t="n">
        <v>56</v>
      </c>
      <c r="D38" s="11" t="n">
        <v>48</v>
      </c>
      <c r="E38" s="11" t="n">
        <v>20</v>
      </c>
    </row>
    <row r="39">
      <c r="A39" s="10" t="inlineStr">
        <is>
          <t>GG</t>
        </is>
      </c>
      <c r="B39" s="11" t="n">
        <v>76</v>
      </c>
      <c r="C39" s="11" t="n">
        <v>58</v>
      </c>
      <c r="D39" s="11" t="n">
        <v>50</v>
      </c>
      <c r="E39" s="11" t="n">
        <v>22</v>
      </c>
    </row>
    <row r="40">
      <c r="A40" s="10" t="inlineStr">
        <is>
          <t>EG</t>
        </is>
      </c>
      <c r="B40" s="11" t="n">
        <v>78</v>
      </c>
      <c r="C40" s="11" t="n">
        <v>60</v>
      </c>
      <c r="D40" s="11" t="n">
        <v>52</v>
      </c>
      <c r="E40" s="11" t="n">
        <v>24</v>
      </c>
    </row>
    <row r="41" ht="30" customHeight="1">
      <c r="A41" s="2" t="inlineStr">
        <is>
          <t>Tabela do fornecedor em cm, medida em repouso, tolerância ± 2 cm. É a mesma tabela única dos produtos regulares Lunfe (M = 72 × 54, ombro 46, manga 18). Modelo das fotos: 1,84 m · 84 kg · veste M.</t>
        </is>
      </c>
    </row>
    <row r="42">
      <c r="A42" s="15" t="inlineStr">
        <is>
          <t>Modelo das fotos: 1,84 m · 84 kg · veste M</t>
        </is>
      </c>
    </row>
    <row r="44">
      <c r="A44" s="27" t="inlineStr">
        <is>
          <t>4. Cores disponíveis</t>
        </is>
      </c>
      <c r="B44" s="28" t="n"/>
      <c r="C44" s="28" t="n"/>
      <c r="D44" s="28" t="n"/>
      <c r="E44" s="28" t="n"/>
      <c r="F44" s="28" t="n"/>
    </row>
    <row r="45">
      <c r="A45" s="9" t="inlineStr">
        <is>
          <t>Cor</t>
        </is>
      </c>
      <c r="B45" s="9" t="inlineStr">
        <is>
          <t>Código HMZT</t>
        </is>
      </c>
      <c r="C45" s="9" t="inlineStr">
        <is>
          <t>Ref. fornecedor</t>
        </is>
      </c>
      <c r="D45" s="9" t="inlineStr">
        <is>
          <t>Observação</t>
        </is>
      </c>
    </row>
    <row r="46">
      <c r="A46" s="10" t="inlineStr">
        <is>
          <t>Preto</t>
        </is>
      </c>
      <c r="B46" s="10" t="inlineStr">
        <is>
          <t>PRT</t>
        </is>
      </c>
      <c r="C46" s="10" t="inlineStr">
        <is>
          <t>PLS-PRT</t>
        </is>
      </c>
      <c r="D46" s="10" t="inlineStr">
        <is>
          <t>Fotos #4–#7; onde o brilho mais aparece</t>
        </is>
      </c>
    </row>
    <row r="47">
      <c r="A47" s="10" t="inlineStr">
        <is>
          <t>Cinza</t>
        </is>
      </c>
      <c r="B47" s="10" t="inlineStr">
        <is>
          <t>CZA</t>
        </is>
      </c>
      <c r="C47" s="10" t="inlineStr">
        <is>
          <t>—</t>
        </is>
      </c>
      <c r="D47" s="10" t="inlineStr">
        <is>
          <t>Fotos #1–#3 e seletor da página; ausente da lista do texto ⚠️</t>
        </is>
      </c>
    </row>
    <row r="48">
      <c r="A48" s="10" t="inlineStr">
        <is>
          <t>Off White</t>
        </is>
      </c>
      <c r="B48" s="10" t="inlineStr">
        <is>
          <t>OFF</t>
        </is>
      </c>
      <c r="C48" s="10" t="inlineStr">
        <is>
          <t>PLS-OFW</t>
        </is>
      </c>
      <c r="D48" s="10" t="inlineStr">
        <is>
          <t>Só no texto; fora do seletor</t>
        </is>
      </c>
    </row>
    <row r="49">
      <c r="A49" s="10" t="inlineStr">
        <is>
          <t>Bege</t>
        </is>
      </c>
      <c r="B49" s="10" t="inlineStr">
        <is>
          <t>BGE</t>
        </is>
      </c>
      <c r="C49" s="10" t="inlineStr">
        <is>
          <t>PLS-BGE</t>
        </is>
      </c>
      <c r="D49" s="10" t="inlineStr">
        <is>
          <t>Só no texto; fora do seletor</t>
        </is>
      </c>
    </row>
    <row r="50">
      <c r="A50" s="10" t="inlineStr">
        <is>
          <t>Marrom</t>
        </is>
      </c>
      <c r="B50" s="10" t="inlineStr">
        <is>
          <t>MRR</t>
        </is>
      </c>
      <c r="C50" s="10" t="inlineStr">
        <is>
          <t>PLS-MRR</t>
        </is>
      </c>
      <c r="D50" s="10" t="inlineStr">
        <is>
          <t>Só no texto; fora do seletor</t>
        </is>
      </c>
    </row>
    <row r="51">
      <c r="A51" s="10" t="inlineStr">
        <is>
          <t>Marinho</t>
        </is>
      </c>
      <c r="B51" s="10" t="inlineStr">
        <is>
          <t>MAR</t>
        </is>
      </c>
      <c r="C51" s="10" t="inlineStr">
        <is>
          <t>PLS-MRN</t>
        </is>
      </c>
      <c r="D51" s="10" t="inlineStr">
        <is>
          <t>Só no texto; fora do seletor</t>
        </is>
      </c>
    </row>
    <row r="52" ht="30" customHeight="1">
      <c r="A52" s="2" t="inlineStr">
        <is>
          <t>Texto: 5 cores (Preto, Off White, Bege, Marrom, Marinho). Seletor: Cinza e Preto. Fotos: cinza claro e preto. Só PRT é confirmado nas três fontes.</t>
        </is>
      </c>
    </row>
    <row r="54">
      <c r="A54" s="27" t="inlineStr">
        <is>
          <t>5. Personalização (preço sempre sob orçamento)</t>
        </is>
      </c>
      <c r="B54" s="28" t="n"/>
      <c r="C54" s="28" t="n"/>
      <c r="D54" s="28" t="n"/>
      <c r="E54" s="28" t="n"/>
      <c r="F54" s="28" t="n"/>
    </row>
    <row r="55">
      <c r="A55" s="9" t="inlineStr">
        <is>
          <t>Técnica</t>
        </is>
      </c>
      <c r="B55" s="9" t="inlineStr">
        <is>
          <t>Detalhe</t>
        </is>
      </c>
      <c r="C55" s="9" t="inlineStr">
        <is>
          <t>Mínimo</t>
        </is>
      </c>
    </row>
    <row r="56">
      <c r="A56" s="10" t="inlineStr">
        <is>
          <t>Silk screen</t>
        </is>
      </c>
      <c r="B56" s="10" t="inlineStr">
        <is>
          <t>Até 4 cores; estampa fosca sobre base brilhante. ⚠️ Poliéster tingido pode migrar para tinta clara (usar tinta anti-migração/baixa cura em cores escuras)</t>
        </is>
      </c>
      <c r="C56" s="10" t="inlineStr">
        <is>
          <t>20 pç</t>
        </is>
      </c>
    </row>
    <row r="57">
      <c r="A57" s="10" t="inlineStr">
        <is>
          <t>DTF</t>
        </is>
      </c>
      <c r="B57" s="10" t="inlineStr">
        <is>
          <t>Full color; ⚠️ a prensa pode marcar brilho ("lustro") e achatar os canais — testar com papel de proteção</t>
        </is>
      </c>
      <c r="C57" s="10" t="inlineStr">
        <is>
          <t>20 pç</t>
        </is>
      </c>
    </row>
    <row r="58">
      <c r="A58" s="10" t="inlineStr">
        <is>
          <t>Bordado</t>
        </is>
      </c>
      <c r="B58" s="10" t="inlineStr">
        <is>
          <t>Peito e mangas; bordado pequeno com entretela</t>
        </is>
      </c>
      <c r="C58" s="10" t="inlineStr">
        <is>
          <t>20 pç</t>
        </is>
      </c>
    </row>
    <row r="59">
      <c r="A59" s="10" t="inlineStr">
        <is>
          <t>Etiqueta private label</t>
        </is>
      </c>
      <c r="B59" s="10" t="inlineStr">
        <is>
          <t>Etiqueta interna costurada + tag externa</t>
        </is>
      </c>
      <c r="C59" s="10" t="inlineStr">
        <is>
          <t>20 pç</t>
        </is>
      </c>
    </row>
    <row r="60">
      <c r="A60" s="10" t="inlineStr">
        <is>
          <t>Embalagem customizada</t>
        </is>
      </c>
      <c r="B60" s="10" t="inlineStr">
        <is>
          <t>Saco com logo, caixa premium, tag especial</t>
        </is>
      </c>
      <c r="C60" s="10" t="inlineStr">
        <is>
          <t>50 pç</t>
        </is>
      </c>
    </row>
    <row r="61">
      <c r="A61" s="10" t="inlineStr">
        <is>
          <t>Cor Pantone</t>
        </is>
      </c>
      <c r="B61" s="10" t="inlineStr">
        <is>
          <t>Tingimento exclusivo, 15–25 dias úteis</t>
        </is>
      </c>
      <c r="C61" s="10" t="inlineStr">
        <is>
          <t>100 pç/cor</t>
        </is>
      </c>
    </row>
    <row r="63">
      <c r="A63" s="27" t="inlineStr">
        <is>
          <t>6. Preços do fornecedor (desconto progressivo)</t>
        </is>
      </c>
      <c r="B63" s="28" t="n"/>
      <c r="C63" s="28" t="n"/>
      <c r="D63" s="28" t="n"/>
      <c r="E63" s="28" t="n"/>
      <c r="F63" s="28" t="n"/>
    </row>
    <row r="64">
      <c r="A64" s="24" t="inlineStr">
        <is>
          <t>Preço base (R$)</t>
        </is>
      </c>
      <c r="B64" s="31" t="n">
        <v>59</v>
      </c>
    </row>
    <row r="65">
      <c r="A65" s="17" t="inlineStr">
        <is>
          <t>Faixa</t>
        </is>
      </c>
      <c r="B65" s="17" t="inlineStr">
        <is>
          <t>Peças</t>
        </is>
      </c>
      <c r="C65" s="17" t="inlineStr">
        <is>
          <t>Desconto</t>
        </is>
      </c>
      <c r="D65" s="17" t="inlineStr">
        <is>
          <t>Preço unitário</t>
        </is>
      </c>
      <c r="E65" s="17" t="inlineStr">
        <is>
          <t>Preço + Pix</t>
        </is>
      </c>
    </row>
    <row r="66">
      <c r="A66" s="18" t="inlineStr">
        <is>
          <t>Faixa 1</t>
        </is>
      </c>
      <c r="B66" s="18" t="inlineStr">
        <is>
          <t>20–40</t>
        </is>
      </c>
      <c r="C66" s="32">
        <f>'Regras Fornecedor'!$D$4</f>
        <v/>
      </c>
      <c r="D66" s="33">
        <f>ROUND($B$64*(1-C66),2)</f>
        <v/>
      </c>
      <c r="E66" s="34">
        <f>ROUND(D66*(1-'Regras Fornecedor'!$B$10),2)</f>
        <v/>
      </c>
    </row>
    <row r="67">
      <c r="A67" s="18" t="inlineStr">
        <is>
          <t>Faixa 2</t>
        </is>
      </c>
      <c r="B67" s="18" t="inlineStr">
        <is>
          <t>40–80</t>
        </is>
      </c>
      <c r="C67" s="32">
        <f>'Regras Fornecedor'!$D$5</f>
        <v/>
      </c>
      <c r="D67" s="33">
        <f>ROUND($B$64*(1-C67),2)</f>
        <v/>
      </c>
      <c r="E67" s="34">
        <f>ROUND(D67*(1-'Regras Fornecedor'!$B$10),2)</f>
        <v/>
      </c>
    </row>
    <row r="68">
      <c r="A68" s="18" t="inlineStr">
        <is>
          <t>Faixa 3</t>
        </is>
      </c>
      <c r="B68" s="18" t="inlineStr">
        <is>
          <t>80–100</t>
        </is>
      </c>
      <c r="C68" s="32">
        <f>'Regras Fornecedor'!$D$6</f>
        <v/>
      </c>
      <c r="D68" s="33">
        <f>ROUND($B$64*(1-C68),2)</f>
        <v/>
      </c>
      <c r="E68" s="34">
        <f>ROUND(D68*(1-'Regras Fornecedor'!$B$10),2)</f>
        <v/>
      </c>
    </row>
    <row r="69">
      <c r="A69" s="18" t="inlineStr">
        <is>
          <t>Faixa 4</t>
        </is>
      </c>
      <c r="B69" s="18" t="inlineStr">
        <is>
          <t>100–300</t>
        </is>
      </c>
      <c r="C69" s="32">
        <f>'Regras Fornecedor'!$D$7</f>
        <v/>
      </c>
      <c r="D69" s="33">
        <f>ROUND($B$64*(1-C69),2)</f>
        <v/>
      </c>
      <c r="E69" s="34">
        <f>ROUND(D69*(1-'Regras Fornecedor'!$B$10),2)</f>
        <v/>
      </c>
    </row>
    <row r="70">
      <c r="A70" s="18" t="inlineStr">
        <is>
          <t>Faixa 5</t>
        </is>
      </c>
      <c r="B70" s="18" t="inlineStr">
        <is>
          <t>300–999</t>
        </is>
      </c>
      <c r="C70" s="32">
        <f>'Regras Fornecedor'!$D$8</f>
        <v/>
      </c>
      <c r="D70" s="33">
        <f>ROUND($B$64*(1-C70),2)</f>
        <v/>
      </c>
      <c r="E70" s="34">
        <f>ROUND(D70*(1-'Regras Fornecedor'!$B$10),2)</f>
        <v/>
      </c>
    </row>
    <row r="72">
      <c r="A72" s="27" t="inlineStr">
        <is>
          <t>7. Custo HMZT e margem (lote de 20 peças, Pix)</t>
        </is>
      </c>
      <c r="B72" s="28" t="n"/>
      <c r="C72" s="28" t="n"/>
      <c r="D72" s="28" t="n"/>
      <c r="E72" s="28" t="n"/>
      <c r="F72" s="28" t="n"/>
    </row>
    <row r="73">
      <c r="A73" s="24" t="inlineStr">
        <is>
          <t>Peça (20 pç, Pix)</t>
        </is>
      </c>
      <c r="B73" s="35">
        <f>E66</f>
        <v/>
      </c>
    </row>
    <row r="74">
      <c r="A74" s="24" t="inlineStr">
        <is>
          <t>Personalização + etiqueta + tag (R$/pç)</t>
        </is>
      </c>
      <c r="B74" s="36" t="n">
        <v>10</v>
      </c>
      <c r="C74" s="15" t="inlineStr">
        <is>
          <t>Estimativa HMZT — trocar pelo orçamento real</t>
        </is>
      </c>
    </row>
    <row r="75">
      <c r="A75" s="24" t="inlineStr">
        <is>
          <t>Frete rateado + embalagem (R$/pç)</t>
        </is>
      </c>
      <c r="B75" s="36" t="n">
        <v>4</v>
      </c>
      <c r="C75" s="15" t="inlineStr">
        <is>
          <t>Estimativa HMZT — trocar pelo orçamento real</t>
        </is>
      </c>
    </row>
    <row r="76">
      <c r="A76" s="24" t="inlineStr">
        <is>
          <t>Custo unitário estimado</t>
        </is>
      </c>
      <c r="B76" s="37">
        <f>SUM(B73:B75)</f>
        <v/>
      </c>
    </row>
    <row r="77">
      <c r="A77" s="24" t="inlineStr">
        <is>
          <t>Preço de venda HMZT (R$)</t>
        </is>
      </c>
      <c r="B77" s="36" t="n">
        <v>159</v>
      </c>
      <c r="C77" s="15" t="inlineStr">
        <is>
          <t>Sugestão do dossiê — ajustar</t>
        </is>
      </c>
    </row>
    <row r="78">
      <c r="A78" s="24" t="inlineStr">
        <is>
          <t>Impostos + gateway (% do preço)</t>
        </is>
      </c>
      <c r="B78" s="38" t="n">
        <v>0</v>
      </c>
      <c r="C78" s="15" t="inlineStr">
        <is>
          <t>A preencher (Simples + taxa Asaas)</t>
        </is>
      </c>
    </row>
    <row r="79">
      <c r="A79" s="24" t="inlineStr">
        <is>
          <t>Margem bruta (R$)</t>
        </is>
      </c>
      <c r="B79" s="35">
        <f>B77-B76</f>
        <v/>
      </c>
    </row>
    <row r="80">
      <c r="A80" s="24" t="inlineStr">
        <is>
          <t>Margem bruta (%)</t>
        </is>
      </c>
      <c r="B80" s="39">
        <f>IF(B77=0,0,(B77-B76)/B77)</f>
        <v/>
      </c>
    </row>
    <row r="81">
      <c r="A81" s="24" t="inlineStr">
        <is>
          <t>Margem após impostos/gateway (%)</t>
        </is>
      </c>
      <c r="B81" s="39">
        <f>IF(B77=0,0,(B77*(1-B78)-B76)/B77)</f>
        <v/>
      </c>
      <c r="C81" s="15" t="inlineStr">
        <is>
          <t>Ainda sem frete ao cliente e mídia</t>
        </is>
      </c>
    </row>
    <row r="83">
      <c r="A83" s="27" t="inlineStr">
        <is>
          <t>8. Contradições e erros ⚠️</t>
        </is>
      </c>
      <c r="B83" s="28" t="n"/>
      <c r="C83" s="28" t="n"/>
      <c r="D83" s="28" t="n"/>
      <c r="E83" s="28" t="n"/>
      <c r="F83" s="28" t="n"/>
    </row>
    <row r="84">
      <c r="A84" s="8" t="inlineStr">
        <is>
          <t>⚠️ Cores: o texto lista 5 cores sem cinza; o seletor da página mostra só Cinza e Preto; as fotos são cinza e preto.</t>
        </is>
      </c>
    </row>
    <row r="85">
      <c r="A85" s="8" t="inlineStr">
        <is>
          <t>⚠️ Composição 52% algodão / 48% poliéster, base R$ 59,00 — igual à Rib Wide, Ripple e Waffle; diferente da Piqué (51% poliéster / 49% algodão).</t>
        </is>
      </c>
    </row>
    <row r="86">
      <c r="A86" s="8" t="inlineStr">
        <is>
          <t>⚠️ "Tecelagem com canais": é malha (tricô), não tecelagem.</t>
        </is>
      </c>
    </row>
    <row r="87">
      <c r="A87" s="8" t="inlineStr">
        <is>
          <t>⚠️ O nome "plissé" sugere plissado termofixado; as fotos mostram um canelado largo e regular. Na prática é a "canelada larga" mais limpa da linha — parece mais Rib Wide que a própria Rib Wide.</t>
        </is>
      </c>
    </row>
    <row r="88">
      <c r="A88" s="8" t="inlineStr">
        <is>
          <t>⚠️ Explicação do brilho ("fibras de poliéster orientadas como no cetim") é pseudo-técnica; o brilho provável vem de fio de poliéster filamento ou do acabamento. Pedir ficha do fio.</t>
        </is>
      </c>
    </row>
    <row r="89">
      <c r="A89" s="8" t="inlineStr">
        <is>
          <t>⚠️ O resumo fala em "margem de 2–3×" e varejo de R$ 129–179 — alegação sem fonte.</t>
        </is>
      </c>
    </row>
    <row r="90">
      <c r="A90" s="8" t="inlineStr">
        <is>
          <t>⚠️ "Algodão premium importado" sem origem.</t>
        </is>
      </c>
    </row>
    <row r="92">
      <c r="A92" s="27" t="inlineStr">
        <is>
          <t>9. Comunicação HMZT</t>
        </is>
      </c>
      <c r="B92" s="28" t="n"/>
      <c r="C92" s="28" t="n"/>
      <c r="D92" s="28" t="n"/>
      <c r="E92" s="28" t="n"/>
      <c r="F92" s="28" t="n"/>
    </row>
    <row r="93">
      <c r="A93" s="24" t="inlineStr">
        <is>
          <t>✅ Pode usar</t>
        </is>
      </c>
      <c r="D93" s="24" t="inlineStr">
        <is>
          <t>📣 / ⛔ Não usar</t>
        </is>
      </c>
    </row>
    <row r="94">
      <c r="A94" s="40" t="inlineStr">
        <is>
          <t>"Canelado vertical largo com brilho acetinado suave."</t>
        </is>
      </c>
      <c r="D94" s="8" t="inlineStr">
        <is>
          <t>"Algodão premium importado" — origem não informada; o algodão importado da Lunfe é de Xinjiang nos P05/P06 (risco de marca)</t>
        </is>
      </c>
    </row>
    <row r="95">
      <c r="A95" s="40" t="inlineStr">
        <is>
          <t>"52% algodão, 48% poliéster" — sempre por extenso.</t>
        </is>
      </c>
      <c r="D95" s="8" t="inlineStr">
        <is>
          <t>"Ticket 40–60% acima da lisa", "margem real", "sustenta preço premium"</t>
        </is>
      </c>
    </row>
    <row r="96">
      <c r="A96" s="40" t="inlineStr">
        <is>
          <t>"Malha 240 g/m², opaca, pré-encolhida, anti-torção."</t>
        </is>
      </c>
      <c r="D96" s="8" t="inlineStr">
        <is>
          <t>"Categoria que está redefinindo o mercado", "dominando o mercado premium"</t>
        </is>
      </c>
    </row>
    <row r="97">
      <c r="A97" s="40" t="inlineStr">
        <is>
          <t>"Uma camiseta para a noite: presença sem precisar de camisa." (posicionamento, não dado)</t>
        </is>
      </c>
      <c r="D97" s="8" t="inlineStr">
        <is>
          <t>"O cliente toca, não solta, compra" e demais afirmações de conversão sem fonte</t>
        </is>
      </c>
    </row>
    <row r="98">
      <c r="A98" s="40" t="inlineStr">
        <is>
          <t>"Fabricada em Santa Catarina."</t>
        </is>
      </c>
      <c r="D98" s="8" t="inlineStr">
        <is>
          <t>"Textura permanente por toda a vida útil" (sem laudo)</t>
        </is>
      </c>
    </row>
    <row r="99">
      <c r="D99" s="8" t="inlineStr">
        <is>
          <t>"Coleção texturizada mais completa do mercado atacadista brasileiro"</t>
        </is>
      </c>
    </row>
    <row r="100">
      <c r="D100" s="8" t="inlineStr">
        <is>
          <t>"O olho humano é biologicamente atraído por brilho", "atenção involuntária"</t>
        </is>
      </c>
    </row>
    <row r="101">
      <c r="D101" s="8" t="inlineStr">
        <is>
          <t>"CTR significativamente acima da média", "engajamento acima da média"</t>
        </is>
      </c>
    </row>
    <row r="102">
      <c r="D102" s="8" t="inlineStr">
        <is>
          <t>"Concorrência mínima", "praticamente inexistente no atacado brasileiro"</t>
        </is>
      </c>
    </row>
    <row r="103">
      <c r="D103" s="8" t="inlineStr">
        <is>
          <t>"Margem de 2–3×", "consumidor aceita R$ 129–179"</t>
        </is>
      </c>
    </row>
    <row r="104">
      <c r="D104" s="8" t="inlineStr">
        <is>
          <t>"Brilho estrutural que nunca sai" (sem laudo)</t>
        </is>
      </c>
    </row>
    <row r="106">
      <c r="A106" s="27" t="inlineStr">
        <is>
          <t>10. Pendências com o fornecedor</t>
        </is>
      </c>
      <c r="B106" s="28" t="n"/>
      <c r="C106" s="28" t="n"/>
      <c r="D106" s="28" t="n"/>
      <c r="E106" s="28" t="n"/>
      <c r="F106" s="28" t="n"/>
    </row>
    <row r="107">
      <c r="A107" s="9" t="inlineStr">
        <is>
          <t>Pendência</t>
        </is>
      </c>
      <c r="B107" s="9" t="inlineStr">
        <is>
          <t>Status</t>
        </is>
      </c>
      <c r="C107" s="9" t="inlineStr">
        <is>
          <t>Responsável</t>
        </is>
      </c>
      <c r="D107" s="9" t="inlineStr">
        <is>
          <t>Resposta</t>
        </is>
      </c>
    </row>
    <row r="108">
      <c r="A108" s="10" t="inlineStr">
        <is>
          <t>Cartela real: Cinza existe no texto? Off White, Bege, Marrom e Marinho têm estoque?</t>
        </is>
      </c>
      <c r="B108" s="11" t="inlineStr">
        <is>
          <t>Aberta</t>
        </is>
      </c>
      <c r="C108" s="11" t="inlineStr"/>
      <c r="D108" s="11" t="inlineStr"/>
    </row>
    <row r="109">
      <c r="A109" s="10" t="inlineStr">
        <is>
          <t>Origem do algodão e tipo do fio de poliéster (filamento?) que gera o brilho</t>
        </is>
      </c>
      <c r="B109" s="11" t="inlineStr">
        <is>
          <t>Aberta</t>
        </is>
      </c>
      <c r="C109" s="11" t="inlineStr"/>
      <c r="D109" s="11" t="inlineStr"/>
    </row>
    <row r="110">
      <c r="A110" s="10" t="inlineStr">
        <is>
          <t>Teste de lavagem do brilho (5–10 ciclos) na amostra</t>
        </is>
      </c>
      <c r="B110" s="11" t="inlineStr">
        <is>
          <t>Aberta</t>
        </is>
      </c>
      <c r="C110" s="11" t="inlineStr"/>
      <c r="D110" s="11" t="inlineStr"/>
    </row>
    <row r="111">
      <c r="A111" s="10" t="inlineStr">
        <is>
          <t>Teste de DTF/silk: marca de prensa e migração de corante</t>
        </is>
      </c>
      <c r="B111" s="11" t="inlineStr">
        <is>
          <t>Aberta</t>
        </is>
      </c>
      <c r="C111" s="11" t="inlineStr"/>
      <c r="D111" s="11" t="inlineStr"/>
    </row>
    <row r="112">
      <c r="A112" s="10" t="inlineStr">
        <is>
          <t>Orçamento: bordado, etiqueta, tag, caixa</t>
        </is>
      </c>
      <c r="B112" s="11" t="inlineStr">
        <is>
          <t>Aberta</t>
        </is>
      </c>
      <c r="C112" s="11" t="inlineStr"/>
      <c r="D112" s="11" t="inlineStr"/>
    </row>
    <row r="114">
      <c r="A114" s="27" t="inlineStr">
        <is>
          <t>11. Fluxo de prompts de lookbook (docs/shop-confeccao/prompts/P19-prompts.md)</t>
        </is>
      </c>
      <c r="B114" s="28" t="n"/>
      <c r="C114" s="28" t="n"/>
      <c r="D114" s="28" t="n"/>
      <c r="E114" s="28" t="n"/>
      <c r="F114" s="28" t="n"/>
    </row>
    <row r="115">
      <c r="A115" s="9" t="inlineStr">
        <is>
          <t>Foto</t>
        </is>
      </c>
      <c r="B115" s="9" t="inlineStr">
        <is>
          <t>Origem no print</t>
        </is>
      </c>
      <c r="C115" s="9" t="inlineStr">
        <is>
          <t>Formato</t>
        </is>
      </c>
      <c r="D115" s="9" t="inlineStr">
        <is>
          <t>Status</t>
        </is>
      </c>
    </row>
    <row r="116">
      <c r="A116" s="10" t="inlineStr">
        <is>
          <t>F1 — Hero 3/4 olhar para o lado (cinza)</t>
        </is>
      </c>
      <c r="B116" s="10" t="inlineStr">
        <is>
          <t>Origem: foto #1 da galeria (cinza, 3/4, olhar para baixo e para o lado, mãos ajustando o bracelete, jeans)</t>
        </is>
      </c>
      <c r="C116" s="10" t="inlineStr">
        <is>
          <t>4:5</t>
        </is>
      </c>
      <c r="D116" s="11" t="inlineStr">
        <is>
          <t>A gerar</t>
        </is>
      </c>
    </row>
    <row r="117">
      <c r="A117" s="10" t="inlineStr">
        <is>
          <t>F2 — Detalhe gola, ombro e manga (cinza)</t>
        </is>
      </c>
      <c r="B117" s="10" t="inlineStr">
        <is>
          <t>Origem: foto #2 da galeria (cinza, recorte dos lábios ao peito)</t>
        </is>
      </c>
      <c r="C117" s="10" t="inlineStr">
        <is>
          <t>4:5</t>
        </is>
      </c>
      <c r="D117" s="11" t="inlineStr">
        <is>
          <t>A gerar</t>
        </is>
      </c>
    </row>
    <row r="118">
      <c r="A118" s="10" t="inlineStr">
        <is>
          <t>F3 — Frontal braços soltos (cinza)</t>
        </is>
      </c>
      <c r="B118" s="10" t="inlineStr">
        <is>
          <t>Origem: foto #3 da galeria (cinza, frontal, olhar para a câmera, jeans)</t>
        </is>
      </c>
      <c r="C118" s="10" t="inlineStr">
        <is>
          <t>4:5</t>
        </is>
      </c>
      <c r="D118" s="11" t="inlineStr">
        <is>
          <t>A gerar</t>
        </is>
      </c>
    </row>
    <row r="119">
      <c r="A119" s="10" t="inlineStr">
        <is>
          <t>F4 — 3/4 cabeça inclinada (preto)</t>
        </is>
      </c>
      <c r="B119" s="10" t="inlineStr">
        <is>
          <t>Origem: foto #4 da galeria (preto, leve 3/4, cabeça inclinada, calça off-white) — cor original 'black', calça 'off-white cream straight trousers'</t>
        </is>
      </c>
      <c r="C119" s="10" t="inlineStr">
        <is>
          <t>4:5</t>
        </is>
      </c>
      <c r="D119" s="11" t="inlineStr">
        <is>
          <t>A gerar</t>
        </is>
      </c>
    </row>
    <row r="120">
      <c r="A120" s="10" t="inlineStr">
        <is>
          <t>F5 — Frontal braços soltos (preto)</t>
        </is>
      </c>
      <c r="B120" s="10" t="inlineStr">
        <is>
          <t>Origem: foto #5 da galeria (preto, frontal) — cor original 'black', calça off-white</t>
        </is>
      </c>
      <c r="C120" s="10" t="inlineStr">
        <is>
          <t>4:5</t>
        </is>
      </c>
      <c r="D120" s="11" t="inlineStr">
        <is>
          <t>A gerar</t>
        </is>
      </c>
    </row>
    <row r="121">
      <c r="A121" s="10" t="inlineStr">
        <is>
          <t>F6 — Detalhe gola e ombro (preto)</t>
        </is>
      </c>
      <c r="B121" s="10" t="inlineStr">
        <is>
          <t>Origem: foto #6 da galeria (preto, recorte dos lábios ao peito, colar fino no pescoço)</t>
        </is>
      </c>
      <c r="C121" s="10" t="inlineStr">
        <is>
          <t>4:5</t>
        </is>
      </c>
      <c r="D121" s="11" t="inlineStr">
        <is>
          <t>A gerar</t>
        </is>
      </c>
    </row>
    <row r="122">
      <c r="A122" s="10" t="inlineStr">
        <is>
          <t>F7 — 3/4 olhar baixo, mãos na cintura (preto)</t>
        </is>
      </c>
      <c r="B122" s="10" t="inlineStr">
        <is>
          <t>Origem: foto #7 da galeria (preto, 3/4, olhar para baixo, mãos juntas ajustando o bracelete)</t>
        </is>
      </c>
      <c r="C122" s="10" t="inlineStr">
        <is>
          <t>4:5</t>
        </is>
      </c>
      <c r="D122" s="11" t="inlineStr">
        <is>
          <t>A gerar</t>
        </is>
      </c>
    </row>
    <row r="123">
      <c r="A123" s="10" t="inlineStr">
        <is>
          <t>F8 — Macro da textura</t>
        </is>
      </c>
      <c r="B123" s="10" t="inlineStr">
        <is>
          <t>Origem: derivado dos detalhes #2 e #6 — close só do tecido para mostrar canais e brilho</t>
        </is>
      </c>
      <c r="C123" s="10" t="inlineStr">
        <is>
          <t>4:5</t>
        </is>
      </c>
      <c r="D123" s="11" t="inlineStr">
        <is>
          <t>A gerar</t>
        </is>
      </c>
    </row>
  </sheetData>
  <mergeCells count="51">
    <mergeCell ref="B4:F4"/>
    <mergeCell ref="A41:F41"/>
    <mergeCell ref="D104:F104"/>
    <mergeCell ref="B7:F7"/>
    <mergeCell ref="A84:F84"/>
    <mergeCell ref="A90:F90"/>
    <mergeCell ref="B30:E30"/>
    <mergeCell ref="A89:F89"/>
    <mergeCell ref="B15:E15"/>
    <mergeCell ref="D97:F97"/>
    <mergeCell ref="B24:E24"/>
    <mergeCell ref="B20:E20"/>
    <mergeCell ref="A86:F86"/>
    <mergeCell ref="A95:C95"/>
    <mergeCell ref="B32:E32"/>
    <mergeCell ref="D103:F103"/>
    <mergeCell ref="B26:E26"/>
    <mergeCell ref="A85:F85"/>
    <mergeCell ref="D102:F102"/>
    <mergeCell ref="B11:F11"/>
    <mergeCell ref="B16:E16"/>
    <mergeCell ref="A97:C97"/>
    <mergeCell ref="B25:E25"/>
    <mergeCell ref="B8:F8"/>
    <mergeCell ref="A96:C96"/>
    <mergeCell ref="B22:E22"/>
    <mergeCell ref="B31:E31"/>
    <mergeCell ref="B18:E18"/>
    <mergeCell ref="B27:E27"/>
    <mergeCell ref="A52:F52"/>
    <mergeCell ref="D98:F98"/>
    <mergeCell ref="D94:F94"/>
    <mergeCell ref="B10:F10"/>
    <mergeCell ref="B21:E21"/>
    <mergeCell ref="D100:F100"/>
    <mergeCell ref="B9:F9"/>
    <mergeCell ref="B17:E17"/>
    <mergeCell ref="B23:E23"/>
    <mergeCell ref="A98:C98"/>
    <mergeCell ref="D99:F99"/>
    <mergeCell ref="B6:F6"/>
    <mergeCell ref="A94:C94"/>
    <mergeCell ref="B5:F5"/>
    <mergeCell ref="B29:E29"/>
    <mergeCell ref="A88:F88"/>
    <mergeCell ref="D96:F96"/>
    <mergeCell ref="B19:E19"/>
    <mergeCell ref="D101:F101"/>
    <mergeCell ref="B28:E28"/>
    <mergeCell ref="A87:F87"/>
    <mergeCell ref="D95:F9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2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P20 — Camiseta Ripple Texture 240g — micro-ondulação horizontal</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HMZT-P20-REG-RPL240</t>
        </is>
      </c>
    </row>
    <row r="5">
      <c r="A5" s="24" t="inlineStr">
        <is>
          <t>Fornecedor</t>
        </is>
      </c>
      <c r="B5" s="2" t="inlineStr">
        <is>
          <t>Lunfe Malhas — fabricação própria, Itajaí-SC</t>
        </is>
      </c>
    </row>
    <row r="6">
      <c r="A6" s="24" t="inlineStr">
        <is>
          <t>Referência</t>
        </is>
      </c>
      <c r="B6" s="2" t="inlineStr">
        <is>
          <t>7892896708893 (EAN-13)</t>
        </is>
      </c>
    </row>
    <row r="7">
      <c r="A7" s="24" t="inlineStr">
        <is>
          <t>URL</t>
        </is>
      </c>
      <c r="B7" s="2" t="inlineStr">
        <is>
          <t>lunfemalhas.com.br/camiseta-ripple-texture-240g-atacado-lunfe</t>
        </is>
      </c>
    </row>
    <row r="8">
      <c r="A8" s="24" t="inlineStr">
        <is>
          <t>Categoria no site</t>
        </is>
      </c>
      <c r="B8" s="2" t="inlineStr">
        <is>
          <t>Camisetas › Malhas Texturizadas</t>
        </is>
      </c>
    </row>
    <row r="9">
      <c r="A9" s="24" t="inlineStr">
        <is>
          <t>Linha HMZT recomendada</t>
        </is>
      </c>
      <c r="B9" s="2" t="inlineStr">
        <is>
          <t>Textura (nova) — base principal (quiet luxury, sob blazer)</t>
        </is>
      </c>
    </row>
    <row r="10">
      <c r="A10" s="24" t="inlineStr">
        <is>
          <t>Estoque</t>
        </is>
      </c>
      <c r="B10" s="2" t="inlineStr">
        <is>
          <t>✅ Em estoque — seletor com 6 cores (Preto, Off White, Azul, Verde, Marrom, Cinza); preço exibido R$ 53,10</t>
        </is>
      </c>
    </row>
    <row r="11">
      <c r="A11" s="24" t="inlineStr">
        <is>
          <t>Descritor canônico (IA)</t>
        </is>
      </c>
      <c r="B11" s="2" t="inlineStr">
        <is>
          <t>Camiseta masculina regular fit, manga curta, malha texturizada 240 g/m² com micro-ondulação horizontal fina (linhas de 1–2 mm) em toda a peça; parece lisa de longe e revela as linhas de perto; superfície fosca; gola careca em faixa lisa com pesponto; barra dupla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52% algodão + 48% poliéster</t>
        </is>
      </c>
      <c r="C15" s="29" t="n"/>
      <c r="D15" s="29" t="n"/>
      <c r="E15" s="30" t="n"/>
    </row>
    <row r="16">
      <c r="A16" s="10" t="inlineStr">
        <is>
          <t>Origem do algodão</t>
        </is>
      </c>
      <c r="B16" s="10" t="inlineStr">
        <is>
          <t>"Algodão premium importado" — origem não informada</t>
        </is>
      </c>
      <c r="C16" s="29" t="n"/>
      <c r="D16" s="29" t="n"/>
      <c r="E16" s="30" t="n"/>
    </row>
    <row r="17">
      <c r="A17" s="10" t="inlineStr">
        <is>
          <t>Gramatura</t>
        </is>
      </c>
      <c r="B17" s="10" t="inlineStr">
        <is>
          <t>240 g/m²</t>
        </is>
      </c>
      <c r="C17" s="29" t="n"/>
      <c r="D17" s="29" t="n"/>
      <c r="E17" s="30" t="n"/>
    </row>
    <row r="18">
      <c r="A18" s="10" t="inlineStr">
        <is>
          <t>Textura</t>
        </is>
      </c>
      <c r="B18" s="10" t="inlineStr">
        <is>
          <t>Ripple — micro-ondulação horizontal: faixas de 1–2 mm alternando relevo e superfície lisa</t>
        </is>
      </c>
      <c r="C18" s="29" t="n"/>
      <c r="D18" s="29" t="n"/>
      <c r="E18" s="30" t="n"/>
    </row>
    <row r="19">
      <c r="A19" s="10" t="inlineStr">
        <is>
          <t>Construção</t>
        </is>
      </c>
      <c r="B19" s="10" t="inlineStr">
        <is>
          <t>Malha (tricô) texturizada — o texto chama de "tecelagem", termo errado para malha</t>
        </is>
      </c>
      <c r="C19" s="29" t="n"/>
      <c r="D19" s="29" t="n"/>
      <c r="E19" s="30" t="n"/>
    </row>
    <row r="20">
      <c r="A20" s="10" t="inlineStr">
        <is>
          <t>Modelagem</t>
        </is>
      </c>
      <c r="B20" s="10" t="inlineStr">
        <is>
          <t>Regular fit</t>
        </is>
      </c>
      <c r="C20" s="29" t="n"/>
      <c r="D20" s="29" t="n"/>
      <c r="E20" s="30" t="n"/>
    </row>
    <row r="21">
      <c r="A21" s="10" t="inlineStr">
        <is>
          <t>Gola</t>
        </is>
      </c>
      <c r="B21" s="10" t="inlineStr">
        <is>
          <t>Ribana lisa, acabamento clean (faixa lisa, sem canelado aparente)</t>
        </is>
      </c>
      <c r="C21" s="29" t="n"/>
      <c r="D21" s="29" t="n"/>
      <c r="E21" s="30" t="n"/>
    </row>
    <row r="22">
      <c r="A22" s="10" t="inlineStr">
        <is>
          <t>Acabamentos</t>
        </is>
      </c>
      <c r="B22" s="10" t="inlineStr">
        <is>
          <t>Costura reforçada em todas as emendas; barra dupla</t>
        </is>
      </c>
      <c r="C22" s="29" t="n"/>
      <c r="D22" s="29" t="n"/>
      <c r="E22" s="30" t="n"/>
    </row>
    <row r="23">
      <c r="A23" s="10" t="inlineStr">
        <is>
          <t>Tratamentos</t>
        </is>
      </c>
      <c r="B23" s="10" t="inlineStr">
        <is>
          <t>Pré-encolhimento, anti-torção, fixação de cor de alta solidez</t>
        </is>
      </c>
      <c r="C23" s="29" t="n"/>
      <c r="D23" s="29" t="n"/>
      <c r="E23" s="30" t="n"/>
    </row>
    <row r="24">
      <c r="A24" s="10" t="inlineStr">
        <is>
          <t>Tamanhos</t>
        </is>
      </c>
      <c r="B24" s="10" t="inlineStr">
        <is>
          <t>P, M, G, GG, EG (5)</t>
        </is>
      </c>
      <c r="C24" s="29" t="n"/>
      <c r="D24" s="29" t="n"/>
      <c r="E24" s="30" t="n"/>
    </row>
    <row r="25">
      <c r="A25" s="10" t="inlineStr">
        <is>
          <t>Cuidados</t>
        </is>
      </c>
      <c r="B25" s="10" t="inlineStr">
        <is>
          <t>Lavar do avesso, ciclo delicado, 30 °C</t>
        </is>
      </c>
      <c r="C25" s="29" t="n"/>
      <c r="D25" s="29" t="n"/>
      <c r="E25" s="30" t="n"/>
    </row>
    <row r="26">
      <c r="A26" s="10" t="inlineStr">
        <is>
          <t>Produção</t>
        </is>
      </c>
      <c r="B26" s="10" t="inlineStr">
        <is>
          <t>Fabricação própria Lunfe — Itajaí, SC</t>
        </is>
      </c>
      <c r="C26" s="29" t="n"/>
      <c r="D26" s="29" t="n"/>
      <c r="E26" s="30" t="n"/>
    </row>
    <row r="27">
      <c r="A27" s="10" t="inlineStr">
        <is>
          <t>Nota fiscal</t>
        </is>
      </c>
      <c r="B27" s="10" t="inlineStr">
        <is>
          <t>NF-e com CFOP de revenda (Simples, Presumido, Real)</t>
        </is>
      </c>
      <c r="C27" s="29" t="n"/>
      <c r="D27" s="29" t="n"/>
      <c r="E27" s="30" t="n"/>
    </row>
    <row r="28">
      <c r="A28" s="10" t="inlineStr">
        <is>
          <t>"Textura permanente, não some na lavagem"</t>
        </is>
      </c>
      <c r="B28" s="10" t="inlineStr">
        <is>
          <t>Sem laudo de teste de lavagem</t>
        </is>
      </c>
      <c r="C28" s="29" t="n"/>
      <c r="D28" s="29" t="n"/>
      <c r="E28" s="30" t="n"/>
    </row>
    <row r="29">
      <c r="A29" s="10" t="inlineStr">
        <is>
          <t>"Ticket 40–60% acima da lisa"</t>
        </is>
      </c>
      <c r="B29" s="10" t="inlineStr">
        <is>
          <t>Sem fonte</t>
        </is>
      </c>
      <c r="C29" s="29" t="n"/>
      <c r="D29" s="29" t="n"/>
      <c r="E29" s="30" t="n"/>
    </row>
    <row r="30">
      <c r="A30" s="10" t="inlineStr">
        <is>
          <t>Brilho</t>
        </is>
      </c>
      <c r="B30" s="10" t="inlineStr">
        <is>
          <t>Fosco</t>
        </is>
      </c>
      <c r="C30" s="29" t="n"/>
      <c r="D30" s="29" t="n"/>
      <c r="E30" s="30" t="n"/>
    </row>
    <row r="31">
      <c r="A31" s="10" t="inlineStr">
        <is>
          <t>Visibilidade</t>
        </is>
      </c>
      <c r="B31" s="10" t="inlineStr">
        <is>
          <t>Sutil — aparece de perto e com luz lateral</t>
        </is>
      </c>
      <c r="C31" s="29" t="n"/>
      <c r="D31" s="29" t="n"/>
      <c r="E31" s="30" t="n"/>
    </row>
    <row r="33">
      <c r="A33" s="27" t="inlineStr">
        <is>
          <t>3. Tabela de medidas (cm)</t>
        </is>
      </c>
      <c r="B33" s="28" t="n"/>
      <c r="C33" s="28" t="n"/>
      <c r="D33" s="28" t="n"/>
      <c r="E33" s="28" t="n"/>
      <c r="F33" s="28" t="n"/>
    </row>
    <row r="34">
      <c r="A34" s="9" t="inlineStr">
        <is>
          <t>Tamanho</t>
        </is>
      </c>
      <c r="B34" s="9" t="inlineStr">
        <is>
          <t>Comprimento</t>
        </is>
      </c>
      <c r="C34" s="9" t="inlineStr">
        <is>
          <t>Largura</t>
        </is>
      </c>
      <c r="D34" s="9" t="inlineStr">
        <is>
          <t>Ombros</t>
        </is>
      </c>
      <c r="E34" s="9" t="inlineStr">
        <is>
          <t>Mangas</t>
        </is>
      </c>
    </row>
    <row r="35">
      <c r="A35" s="10" t="inlineStr">
        <is>
          <t>P</t>
        </is>
      </c>
      <c r="B35" s="11" t="n">
        <v>70</v>
      </c>
      <c r="C35" s="11" t="n">
        <v>52</v>
      </c>
      <c r="D35" s="11" t="n">
        <v>44</v>
      </c>
      <c r="E35" s="11" t="n">
        <v>16</v>
      </c>
    </row>
    <row r="36">
      <c r="A36" s="10" t="inlineStr">
        <is>
          <t>M</t>
        </is>
      </c>
      <c r="B36" s="11" t="n">
        <v>72</v>
      </c>
      <c r="C36" s="11" t="n">
        <v>54</v>
      </c>
      <c r="D36" s="11" t="n">
        <v>46</v>
      </c>
      <c r="E36" s="11" t="n">
        <v>18</v>
      </c>
    </row>
    <row r="37">
      <c r="A37" s="10" t="inlineStr">
        <is>
          <t>G</t>
        </is>
      </c>
      <c r="B37" s="11" t="n">
        <v>74</v>
      </c>
      <c r="C37" s="11" t="n">
        <v>56</v>
      </c>
      <c r="D37" s="11" t="n">
        <v>48</v>
      </c>
      <c r="E37" s="11" t="n">
        <v>20</v>
      </c>
    </row>
    <row r="38">
      <c r="A38" s="10" t="inlineStr">
        <is>
          <t>GG</t>
        </is>
      </c>
      <c r="B38" s="11" t="n">
        <v>76</v>
      </c>
      <c r="C38" s="11" t="n">
        <v>58</v>
      </c>
      <c r="D38" s="11" t="n">
        <v>50</v>
      </c>
      <c r="E38" s="11" t="n">
        <v>22</v>
      </c>
    </row>
    <row r="39">
      <c r="A39" s="10" t="inlineStr">
        <is>
          <t>EG</t>
        </is>
      </c>
      <c r="B39" s="11" t="n">
        <v>78</v>
      </c>
      <c r="C39" s="11" t="n">
        <v>60</v>
      </c>
      <c r="D39" s="11" t="n">
        <v>52</v>
      </c>
      <c r="E39" s="11" t="n">
        <v>24</v>
      </c>
    </row>
    <row r="40" ht="30" customHeight="1">
      <c r="A40" s="2" t="inlineStr">
        <is>
          <t>Tabela do fornecedor em cm, medida em repouso, tolerância ± 2 cm. É a mesma tabela única dos produtos regulares Lunfe (M = 72 × 54, ombro 46, manga 18). Modelo das fotos: 1,84 m · 84 kg · veste M.</t>
        </is>
      </c>
    </row>
    <row r="41">
      <c r="A41" s="15" t="inlineStr">
        <is>
          <t>Modelo das fotos: 1,84 m · 84 kg · veste M</t>
        </is>
      </c>
    </row>
    <row r="43">
      <c r="A43" s="27" t="inlineStr">
        <is>
          <t>4. Cores disponíveis</t>
        </is>
      </c>
      <c r="B43" s="28" t="n"/>
      <c r="C43" s="28" t="n"/>
      <c r="D43" s="28" t="n"/>
      <c r="E43" s="28" t="n"/>
      <c r="F43" s="28" t="n"/>
    </row>
    <row r="44">
      <c r="A44" s="9" t="inlineStr">
        <is>
          <t>Cor</t>
        </is>
      </c>
      <c r="B44" s="9" t="inlineStr">
        <is>
          <t>Código HMZT</t>
        </is>
      </c>
      <c r="C44" s="9" t="inlineStr">
        <is>
          <t>Ref. fornecedor</t>
        </is>
      </c>
      <c r="D44" s="9" t="inlineStr">
        <is>
          <t>Observação</t>
        </is>
      </c>
    </row>
    <row r="45">
      <c r="A45" s="10" t="inlineStr">
        <is>
          <t>Preto</t>
        </is>
      </c>
      <c r="B45" s="10" t="inlineStr">
        <is>
          <t>PRT</t>
        </is>
      </c>
      <c r="C45" s="10" t="inlineStr">
        <is>
          <t>RPL-PRT</t>
        </is>
      </c>
      <c r="D45" s="10" t="inlineStr">
        <is>
          <t>Fotos #1–#3 (preto azulado — pode ser o Marinho; confirmar)</t>
        </is>
      </c>
    </row>
    <row r="46">
      <c r="A46" s="10" t="inlineStr">
        <is>
          <t>Off White</t>
        </is>
      </c>
      <c r="B46" s="10" t="inlineStr">
        <is>
          <t>OFF</t>
        </is>
      </c>
      <c r="C46" s="10" t="inlineStr">
        <is>
          <t>RPL-OFW</t>
        </is>
      </c>
      <c r="D46" s="10" t="inlineStr">
        <is>
          <t>Fotos #8–#10; a cor que mais revela a textura</t>
        </is>
      </c>
    </row>
    <row r="47">
      <c r="A47" s="10" t="inlineStr">
        <is>
          <t>Marrom</t>
        </is>
      </c>
      <c r="B47" s="10" t="inlineStr">
        <is>
          <t>MRR</t>
        </is>
      </c>
      <c r="C47" s="10" t="inlineStr">
        <is>
          <t>RPL-MRR</t>
        </is>
      </c>
      <c r="D47" s="10" t="inlineStr">
        <is>
          <t>Fotos #4–#7 (chocolate escuro)</t>
        </is>
      </c>
    </row>
    <row r="48">
      <c r="A48" s="10" t="inlineStr">
        <is>
          <t>Azul</t>
        </is>
      </c>
      <c r="B48" s="10" t="inlineStr">
        <is>
          <t>AZL</t>
        </is>
      </c>
      <c r="C48" s="10" t="inlineStr">
        <is>
          <t>—</t>
        </is>
      </c>
      <c r="D48" s="10" t="inlineStr">
        <is>
          <t>Fotos #11–#13 (azul lavanda/periwinkle); só no seletor ⚠️</t>
        </is>
      </c>
    </row>
    <row r="49">
      <c r="A49" s="10" t="inlineStr">
        <is>
          <t>Verde</t>
        </is>
      </c>
      <c r="B49" s="10" t="inlineStr">
        <is>
          <t>VRD</t>
        </is>
      </c>
      <c r="C49" s="10" t="inlineStr">
        <is>
          <t>—</t>
        </is>
      </c>
      <c r="D49" s="10" t="inlineStr">
        <is>
          <t>Fotos #14–#15 (verde-oliva acinzentado); só no seletor ⚠️</t>
        </is>
      </c>
    </row>
    <row r="50">
      <c r="A50" s="10" t="inlineStr">
        <is>
          <t>Cinza</t>
        </is>
      </c>
      <c r="B50" s="10" t="inlineStr">
        <is>
          <t>CZA</t>
        </is>
      </c>
      <c r="C50" s="10" t="inlineStr">
        <is>
          <t>—</t>
        </is>
      </c>
      <c r="D50" s="10" t="inlineStr">
        <is>
          <t>Só no seletor; não aparece nas fotos ⚠️</t>
        </is>
      </c>
    </row>
    <row r="51">
      <c r="A51" s="10" t="inlineStr">
        <is>
          <t>Bege</t>
        </is>
      </c>
      <c r="B51" s="10" t="inlineStr">
        <is>
          <t>BGE</t>
        </is>
      </c>
      <c r="C51" s="10" t="inlineStr">
        <is>
          <t>RPL-BGE</t>
        </is>
      </c>
      <c r="D51" s="10" t="inlineStr">
        <is>
          <t>Só no texto ⚠️</t>
        </is>
      </c>
    </row>
    <row r="52">
      <c r="A52" s="10" t="inlineStr">
        <is>
          <t>Marinho</t>
        </is>
      </c>
      <c r="B52" s="10" t="inlineStr">
        <is>
          <t>MAR</t>
        </is>
      </c>
      <c r="C52" s="10" t="inlineStr">
        <is>
          <t>RPL-MRN</t>
        </is>
      </c>
      <c r="D52" s="10" t="inlineStr">
        <is>
          <t>Só no texto ⚠️ (ou é o "preto" das fotos)</t>
        </is>
      </c>
    </row>
    <row r="53" ht="30" customHeight="1">
      <c r="A53" s="2" t="inlineStr">
        <is>
          <t>Texto: 5 cores (Preto, Off White, Bege, Marrom, Marinho). Seletor: 6 (Preto, Off White, Azul, Verde, Marrom, Cinza). Fotos: 5 (preto/marinho, marrom, off-white, azul, verde). Confirmadas nas três fontes: Preto, Off White, Marrom.</t>
        </is>
      </c>
    </row>
    <row r="55">
      <c r="A55" s="27" t="inlineStr">
        <is>
          <t>5. Personalização (preço sempre sob orçamento)</t>
        </is>
      </c>
      <c r="B55" s="28" t="n"/>
      <c r="C55" s="28" t="n"/>
      <c r="D55" s="28" t="n"/>
      <c r="E55" s="28" t="n"/>
      <c r="F55" s="28" t="n"/>
    </row>
    <row r="56">
      <c r="A56" s="9" t="inlineStr">
        <is>
          <t>Técnica</t>
        </is>
      </c>
      <c r="B56" s="9" t="inlineStr">
        <is>
          <t>Detalhe</t>
        </is>
      </c>
      <c r="C56" s="9" t="inlineStr">
        <is>
          <t>Mínimo</t>
        </is>
      </c>
    </row>
    <row r="57">
      <c r="A57" s="10" t="inlineStr">
        <is>
          <t>Silk screen</t>
        </is>
      </c>
      <c r="B57" s="10" t="inlineStr">
        <is>
          <t>Até 4 cores; a micro-textura interfere pouco. ⚠️ Cores escuras: tinta anti-migração (poliéster)</t>
        </is>
      </c>
      <c r="C57" s="10" t="inlineStr">
        <is>
          <t>20 pç</t>
        </is>
      </c>
    </row>
    <row r="58">
      <c r="A58" s="10" t="inlineStr">
        <is>
          <t>DTF</t>
        </is>
      </c>
      <c r="B58" s="10" t="inlineStr">
        <is>
          <t>Full color; boa aderência — testar prensa para não achatar a micro-ondulação</t>
        </is>
      </c>
      <c r="C58" s="10" t="inlineStr">
        <is>
          <t>20 pç</t>
        </is>
      </c>
    </row>
    <row r="59">
      <c r="A59" s="10" t="inlineStr">
        <is>
          <t>Bordado</t>
        </is>
      </c>
      <c r="B59" s="10" t="inlineStr">
        <is>
          <t>Peito e mangas; melhor combinação da linha (bordado pequeno no peito)</t>
        </is>
      </c>
      <c r="C59" s="10" t="inlineStr">
        <is>
          <t>20 pç</t>
        </is>
      </c>
    </row>
    <row r="60">
      <c r="A60" s="10" t="inlineStr">
        <is>
          <t>Etiqueta private label</t>
        </is>
      </c>
      <c r="B60" s="10" t="inlineStr">
        <is>
          <t>Etiqueta interna costurada + tag externa</t>
        </is>
      </c>
      <c r="C60" s="10" t="inlineStr">
        <is>
          <t>20 pç</t>
        </is>
      </c>
    </row>
    <row r="61">
      <c r="A61" s="10" t="inlineStr">
        <is>
          <t>Embalagem customizada</t>
        </is>
      </c>
      <c r="B61" s="10" t="inlineStr">
        <is>
          <t>Saco com logo, caixa premium, tag especial</t>
        </is>
      </c>
      <c r="C61" s="10" t="inlineStr">
        <is>
          <t>50 pç</t>
        </is>
      </c>
    </row>
    <row r="62">
      <c r="A62" s="10" t="inlineStr">
        <is>
          <t>Cor Pantone</t>
        </is>
      </c>
      <c r="B62" s="10" t="inlineStr">
        <is>
          <t>Tingimento exclusivo, 15–25 dias úteis</t>
        </is>
      </c>
      <c r="C62" s="10" t="inlineStr">
        <is>
          <t>100 pç/cor</t>
        </is>
      </c>
    </row>
    <row r="64">
      <c r="A64" s="27" t="inlineStr">
        <is>
          <t>6. Preços do fornecedor (desconto progressivo)</t>
        </is>
      </c>
      <c r="B64" s="28" t="n"/>
      <c r="C64" s="28" t="n"/>
      <c r="D64" s="28" t="n"/>
      <c r="E64" s="28" t="n"/>
      <c r="F64" s="28" t="n"/>
    </row>
    <row r="65">
      <c r="A65" s="24" t="inlineStr">
        <is>
          <t>Preço base (R$)</t>
        </is>
      </c>
      <c r="B65" s="31" t="n">
        <v>59</v>
      </c>
    </row>
    <row r="66">
      <c r="A66" s="17" t="inlineStr">
        <is>
          <t>Faixa</t>
        </is>
      </c>
      <c r="B66" s="17" t="inlineStr">
        <is>
          <t>Peças</t>
        </is>
      </c>
      <c r="C66" s="17" t="inlineStr">
        <is>
          <t>Desconto</t>
        </is>
      </c>
      <c r="D66" s="17" t="inlineStr">
        <is>
          <t>Preço unitário</t>
        </is>
      </c>
      <c r="E66" s="17" t="inlineStr">
        <is>
          <t>Preço + Pix</t>
        </is>
      </c>
    </row>
    <row r="67">
      <c r="A67" s="18" t="inlineStr">
        <is>
          <t>Faixa 1</t>
        </is>
      </c>
      <c r="B67" s="18" t="inlineStr">
        <is>
          <t>20–40</t>
        </is>
      </c>
      <c r="C67" s="32">
        <f>'Regras Fornecedor'!$D$4</f>
        <v/>
      </c>
      <c r="D67" s="33">
        <f>ROUND($B$65*(1-C67),2)</f>
        <v/>
      </c>
      <c r="E67" s="34">
        <f>ROUND(D67*(1-'Regras Fornecedor'!$B$10),2)</f>
        <v/>
      </c>
    </row>
    <row r="68">
      <c r="A68" s="18" t="inlineStr">
        <is>
          <t>Faixa 2</t>
        </is>
      </c>
      <c r="B68" s="18" t="inlineStr">
        <is>
          <t>40–80</t>
        </is>
      </c>
      <c r="C68" s="32">
        <f>'Regras Fornecedor'!$D$5</f>
        <v/>
      </c>
      <c r="D68" s="33">
        <f>ROUND($B$65*(1-C68),2)</f>
        <v/>
      </c>
      <c r="E68" s="34">
        <f>ROUND(D68*(1-'Regras Fornecedor'!$B$10),2)</f>
        <v/>
      </c>
    </row>
    <row r="69">
      <c r="A69" s="18" t="inlineStr">
        <is>
          <t>Faixa 3</t>
        </is>
      </c>
      <c r="B69" s="18" t="inlineStr">
        <is>
          <t>80–100</t>
        </is>
      </c>
      <c r="C69" s="32">
        <f>'Regras Fornecedor'!$D$6</f>
        <v/>
      </c>
      <c r="D69" s="33">
        <f>ROUND($B$65*(1-C69),2)</f>
        <v/>
      </c>
      <c r="E69" s="34">
        <f>ROUND(D69*(1-'Regras Fornecedor'!$B$10),2)</f>
        <v/>
      </c>
    </row>
    <row r="70">
      <c r="A70" s="18" t="inlineStr">
        <is>
          <t>Faixa 4</t>
        </is>
      </c>
      <c r="B70" s="18" t="inlineStr">
        <is>
          <t>100–300</t>
        </is>
      </c>
      <c r="C70" s="32">
        <f>'Regras Fornecedor'!$D$7</f>
        <v/>
      </c>
      <c r="D70" s="33">
        <f>ROUND($B$65*(1-C70),2)</f>
        <v/>
      </c>
      <c r="E70" s="34">
        <f>ROUND(D70*(1-'Regras Fornecedor'!$B$10),2)</f>
        <v/>
      </c>
    </row>
    <row r="71">
      <c r="A71" s="18" t="inlineStr">
        <is>
          <t>Faixa 5</t>
        </is>
      </c>
      <c r="B71" s="18" t="inlineStr">
        <is>
          <t>300–999</t>
        </is>
      </c>
      <c r="C71" s="32">
        <f>'Regras Fornecedor'!$D$8</f>
        <v/>
      </c>
      <c r="D71" s="33">
        <f>ROUND($B$65*(1-C71),2)</f>
        <v/>
      </c>
      <c r="E71" s="34">
        <f>ROUND(D71*(1-'Regras Fornecedor'!$B$10),2)</f>
        <v/>
      </c>
    </row>
    <row r="73">
      <c r="A73" s="27" t="inlineStr">
        <is>
          <t>7. Custo HMZT e margem (lote de 20 peças, Pix)</t>
        </is>
      </c>
      <c r="B73" s="28" t="n"/>
      <c r="C73" s="28" t="n"/>
      <c r="D73" s="28" t="n"/>
      <c r="E73" s="28" t="n"/>
      <c r="F73" s="28" t="n"/>
    </row>
    <row r="74">
      <c r="A74" s="24" t="inlineStr">
        <is>
          <t>Peça (20 pç, Pix)</t>
        </is>
      </c>
      <c r="B74" s="35">
        <f>E67</f>
        <v/>
      </c>
    </row>
    <row r="75">
      <c r="A75" s="24" t="inlineStr">
        <is>
          <t>Personalização + etiqueta + tag (R$/pç)</t>
        </is>
      </c>
      <c r="B75" s="36" t="n">
        <v>10</v>
      </c>
      <c r="C75" s="15" t="inlineStr">
        <is>
          <t>Estimativa HMZT — trocar pelo orçamento real</t>
        </is>
      </c>
    </row>
    <row r="76">
      <c r="A76" s="24" t="inlineStr">
        <is>
          <t>Frete rateado + embalagem (R$/pç)</t>
        </is>
      </c>
      <c r="B76" s="36" t="n">
        <v>4</v>
      </c>
      <c r="C76" s="15" t="inlineStr">
        <is>
          <t>Estimativa HMZT — trocar pelo orçamento real</t>
        </is>
      </c>
    </row>
    <row r="77">
      <c r="A77" s="24" t="inlineStr">
        <is>
          <t>Custo unitário estimado</t>
        </is>
      </c>
      <c r="B77" s="37">
        <f>SUM(B74:B76)</f>
        <v/>
      </c>
    </row>
    <row r="78">
      <c r="A78" s="24" t="inlineStr">
        <is>
          <t>Preço de venda HMZT (R$)</t>
        </is>
      </c>
      <c r="B78" s="36" t="n">
        <v>149</v>
      </c>
      <c r="C78" s="15" t="inlineStr">
        <is>
          <t>Sugestão do dossiê — ajustar</t>
        </is>
      </c>
    </row>
    <row r="79">
      <c r="A79" s="24" t="inlineStr">
        <is>
          <t>Impostos + gateway (% do preço)</t>
        </is>
      </c>
      <c r="B79" s="38" t="n">
        <v>0</v>
      </c>
      <c r="C79" s="15" t="inlineStr">
        <is>
          <t>A preencher (Simples + taxa Asaas)</t>
        </is>
      </c>
    </row>
    <row r="80">
      <c r="A80" s="24" t="inlineStr">
        <is>
          <t>Margem bruta (R$)</t>
        </is>
      </c>
      <c r="B80" s="35">
        <f>B78-B77</f>
        <v/>
      </c>
    </row>
    <row r="81">
      <c r="A81" s="24" t="inlineStr">
        <is>
          <t>Margem bruta (%)</t>
        </is>
      </c>
      <c r="B81" s="39">
        <f>IF(B78=0,0,(B78-B77)/B78)</f>
        <v/>
      </c>
    </row>
    <row r="82">
      <c r="A82" s="24" t="inlineStr">
        <is>
          <t>Margem após impostos/gateway (%)</t>
        </is>
      </c>
      <c r="B82" s="39">
        <f>IF(B78=0,0,(B78*(1-B79)-B77)/B78)</f>
        <v/>
      </c>
      <c r="C82" s="15" t="inlineStr">
        <is>
          <t>Ainda sem frete ao cliente e mídia</t>
        </is>
      </c>
    </row>
    <row r="84">
      <c r="A84" s="27" t="inlineStr">
        <is>
          <t>8. Contradições e erros ⚠️</t>
        </is>
      </c>
      <c r="B84" s="28" t="n"/>
      <c r="C84" s="28" t="n"/>
      <c r="D84" s="28" t="n"/>
      <c r="E84" s="28" t="n"/>
      <c r="F84" s="28" t="n"/>
    </row>
    <row r="85">
      <c r="A85" s="8" t="inlineStr">
        <is>
          <t>⚠️ Cores: texto (5) × seletor (6) × fotos (5) não batem; Azul, Verde e Cinza não existem no texto; Bege e Marinho não existem no seletor.</t>
        </is>
      </c>
    </row>
    <row r="86">
      <c r="A86" s="8" t="inlineStr">
        <is>
          <t>⚠️ Composição 52% algodão / 48% poliéster, base R$ 59,00 — confirma o texto do P04 para a linha texturizada.</t>
        </is>
      </c>
    </row>
    <row r="87">
      <c r="A87" s="8" t="inlineStr">
        <is>
          <t>⚠️ "Tecelagem com variação de tensão": é malha, não tecelagem; a descrição do processo é vaga.</t>
        </is>
      </c>
    </row>
    <row r="88">
      <c r="A88" s="8" t="inlineStr">
        <is>
          <t>⚠️ O texto diz que a Ripple é "a única textura da linha que funciona sob blazer", mas o comparativo da própria página dá a Waffle como "aceitável" sob blazer.</t>
        </is>
      </c>
    </row>
    <row r="89">
      <c r="A89" s="8" t="inlineStr">
        <is>
          <t>⚠️ Compara com "ottoman" — há uma Ottoman Texture 240g citada na página da Rib Wide, não catalogada.</t>
        </is>
      </c>
    </row>
    <row r="90">
      <c r="A90" s="8" t="inlineStr">
        <is>
          <t>⚠️ "Algodão premium importado" sem origem.</t>
        </is>
      </c>
    </row>
    <row r="92">
      <c r="A92" s="27" t="inlineStr">
        <is>
          <t>9. Comunicação HMZT</t>
        </is>
      </c>
      <c r="B92" s="28" t="n"/>
      <c r="C92" s="28" t="n"/>
      <c r="D92" s="28" t="n"/>
      <c r="E92" s="28" t="n"/>
      <c r="F92" s="28" t="n"/>
    </row>
    <row r="93">
      <c r="A93" s="24" t="inlineStr">
        <is>
          <t>✅ Pode usar</t>
        </is>
      </c>
      <c r="D93" s="24" t="inlineStr">
        <is>
          <t>📣 / ⛔ Não usar</t>
        </is>
      </c>
    </row>
    <row r="94">
      <c r="A94" s="40" t="inlineStr">
        <is>
          <t>"Micro-textura horizontal que aparece de perto e ao toque."</t>
        </is>
      </c>
      <c r="D94" s="8" t="inlineStr">
        <is>
          <t>"Algodão premium importado" — origem não informada; o algodão importado da Lunfe é de Xinjiang nos P05/P06 (risco de marca)</t>
        </is>
      </c>
    </row>
    <row r="95">
      <c r="A95" s="40" t="inlineStr">
        <is>
          <t>"52% algodão, 48% poliéster" — sempre por extenso.</t>
        </is>
      </c>
      <c r="D95" s="8" t="inlineStr">
        <is>
          <t>"Ticket 40–60% acima da lisa", "margem real", "sustenta preço premium"</t>
        </is>
      </c>
    </row>
    <row r="96">
      <c r="A96" s="40" t="inlineStr">
        <is>
          <t>"Parece lisa de longe; de perto, a textura aparece."</t>
        </is>
      </c>
      <c r="D96" s="8" t="inlineStr">
        <is>
          <t>"Categoria que está redefinindo o mercado", "dominando o mercado premium"</t>
        </is>
      </c>
    </row>
    <row r="97">
      <c r="A97" s="40" t="inlineStr">
        <is>
          <t>"Funciona sozinha ou por baixo de blazer." (uso, não dado)</t>
        </is>
      </c>
      <c r="D97" s="8" t="inlineStr">
        <is>
          <t>"O cliente toca, não solta, compra" e demais afirmações de conversão sem fonte</t>
        </is>
      </c>
    </row>
    <row r="98">
      <c r="A98" s="40" t="inlineStr">
        <is>
          <t>"Malha 240 g/m², pré-encolhida, anti-torção."</t>
        </is>
      </c>
      <c r="D98" s="8" t="inlineStr">
        <is>
          <t>"Textura permanente por toda a vida útil" (sem laudo)</t>
        </is>
      </c>
    </row>
    <row r="99">
      <c r="A99" s="40" t="inlineStr">
        <is>
          <t>"Fabricada em Santa Catarina."</t>
        </is>
      </c>
      <c r="D99" s="8" t="inlineStr">
        <is>
          <t>"Coleção texturizada mais completa do mercado atacadista brasileiro"</t>
        </is>
      </c>
    </row>
    <row r="100">
      <c r="D100" s="8" t="inlineStr">
        <is>
          <t>"O movimento quiet luxury domina a moda masculina 2024–2026"</t>
        </is>
      </c>
    </row>
    <row r="101">
      <c r="D101" s="8" t="inlineStr">
        <is>
          <t>"Sustenta preço 30–50% acima do básico"</t>
        </is>
      </c>
    </row>
    <row r="102">
      <c r="D102" s="8" t="inlineStr">
        <is>
          <t>"É a textura para quem entende de roupa" (tom ok como inspiração, não como fato)</t>
        </is>
      </c>
    </row>
    <row r="104">
      <c r="A104" s="27" t="inlineStr">
        <is>
          <t>10. Pendências com o fornecedor</t>
        </is>
      </c>
      <c r="B104" s="28" t="n"/>
      <c r="C104" s="28" t="n"/>
      <c r="D104" s="28" t="n"/>
      <c r="E104" s="28" t="n"/>
      <c r="F104" s="28" t="n"/>
    </row>
    <row r="105">
      <c r="A105" s="9" t="inlineStr">
        <is>
          <t>Pendência</t>
        </is>
      </c>
      <c r="B105" s="9" t="inlineStr">
        <is>
          <t>Status</t>
        </is>
      </c>
      <c r="C105" s="9" t="inlineStr">
        <is>
          <t>Responsável</t>
        </is>
      </c>
      <c r="D105" s="9" t="inlineStr">
        <is>
          <t>Resposta</t>
        </is>
      </c>
    </row>
    <row r="106">
      <c r="A106" s="10" t="inlineStr">
        <is>
          <t>Cartela real e referência (RPL-xxx) de Azul, Verde e Cinza</t>
        </is>
      </c>
      <c r="B106" s="11" t="inlineStr">
        <is>
          <t>Aberta</t>
        </is>
      </c>
      <c r="C106" s="11" t="inlineStr"/>
      <c r="D106" s="11" t="inlineStr"/>
    </row>
    <row r="107">
      <c r="A107" s="10" t="inlineStr">
        <is>
          <t>O "preto" das fotos #1–#3 é Preto ou Marinho?</t>
        </is>
      </c>
      <c r="B107" s="11" t="inlineStr">
        <is>
          <t>Aberta</t>
        </is>
      </c>
      <c r="C107" s="11" t="inlineStr"/>
      <c r="D107" s="11" t="inlineStr"/>
    </row>
    <row r="108">
      <c r="A108" s="10" t="inlineStr">
        <is>
          <t>Origem do "algodão premium importado"</t>
        </is>
      </c>
      <c r="B108" s="11" t="inlineStr">
        <is>
          <t>Aberta</t>
        </is>
      </c>
      <c r="C108" s="11" t="inlineStr"/>
      <c r="D108" s="11" t="inlineStr"/>
    </row>
    <row r="109">
      <c r="A109" s="10" t="inlineStr">
        <is>
          <t>Amostra: escala real da ondulação (1–2 mm) e opacidade no off-white</t>
        </is>
      </c>
      <c r="B109" s="11" t="inlineStr">
        <is>
          <t>Aberta</t>
        </is>
      </c>
      <c r="C109" s="11" t="inlineStr"/>
      <c r="D109" s="11" t="inlineStr"/>
    </row>
    <row r="110">
      <c r="A110" s="10" t="inlineStr">
        <is>
          <t>Orçamento: bordado peito (até 8 cm), etiqueta, tag</t>
        </is>
      </c>
      <c r="B110" s="11" t="inlineStr">
        <is>
          <t>Aberta</t>
        </is>
      </c>
      <c r="C110" s="11" t="inlineStr"/>
      <c r="D110" s="11" t="inlineStr"/>
    </row>
    <row r="112">
      <c r="A112" s="27" t="inlineStr">
        <is>
          <t>11. Fluxo de prompts de lookbook (docs/shop-confeccao/prompts/P20-prompts.md)</t>
        </is>
      </c>
      <c r="B112" s="28" t="n"/>
      <c r="C112" s="28" t="n"/>
      <c r="D112" s="28" t="n"/>
      <c r="E112" s="28" t="n"/>
      <c r="F112" s="28" t="n"/>
    </row>
    <row r="113">
      <c r="A113" s="9" t="inlineStr">
        <is>
          <t>Foto</t>
        </is>
      </c>
      <c r="B113" s="9" t="inlineStr">
        <is>
          <t>Origem no print</t>
        </is>
      </c>
      <c r="C113" s="9" t="inlineStr">
        <is>
          <t>Formato</t>
        </is>
      </c>
      <c r="D113" s="9" t="inlineStr">
        <is>
          <t>Status</t>
        </is>
      </c>
    </row>
    <row r="114">
      <c r="A114" s="10" t="inlineStr">
        <is>
          <t>F1 — Hero 3/4 mãos juntas (preto)</t>
        </is>
      </c>
      <c r="B114" s="10" t="inlineStr">
        <is>
          <t>Origem: foto #1 da galeria (preto-azulado, leve 3/4, cabeça inclinada, mãos juntas na cintura, calça off-white)</t>
        </is>
      </c>
      <c r="C114" s="10" t="inlineStr">
        <is>
          <t>4:5</t>
        </is>
      </c>
      <c r="D114" s="11" t="inlineStr">
        <is>
          <t>A gerar</t>
        </is>
      </c>
    </row>
    <row r="115">
      <c r="A115" s="10" t="inlineStr">
        <is>
          <t>F2 — Detalhe gola e manga (preto)</t>
        </is>
      </c>
      <c r="B115" s="10" t="inlineStr">
        <is>
          <t>Origem: foto #2 da galeria (preto, recorte dos lábios ao peito)</t>
        </is>
      </c>
      <c r="C115" s="10" t="inlineStr">
        <is>
          <t>4:5</t>
        </is>
      </c>
      <c r="D115" s="11" t="inlineStr">
        <is>
          <t>A gerar</t>
        </is>
      </c>
    </row>
    <row r="116">
      <c r="A116" s="10" t="inlineStr">
        <is>
          <t>F3 — Frontal olhar para o lado (preto)</t>
        </is>
      </c>
      <c r="B116" s="10" t="inlineStr">
        <is>
          <t>Origem: foto #3 da galeria (preto, frontal, cabeça virada para a direita da câmera)</t>
        </is>
      </c>
      <c r="C116" s="10" t="inlineStr">
        <is>
          <t>4:5</t>
        </is>
      </c>
      <c r="D116" s="11" t="inlineStr">
        <is>
          <t>A gerar</t>
        </is>
      </c>
    </row>
    <row r="117">
      <c r="A117" s="10" t="inlineStr">
        <is>
          <t>F4 — Frontal braços soltos (marrom)</t>
        </is>
      </c>
      <c r="B117" s="10" t="inlineStr">
        <is>
          <t>Origem: foto #4 da galeria (marrom, frontal, cabeça levemente inclinada) — cor original 'dark chocolate brown'</t>
        </is>
      </c>
      <c r="C117" s="10" t="inlineStr">
        <is>
          <t>4:5</t>
        </is>
      </c>
      <c r="D117" s="11" t="inlineStr">
        <is>
          <t>A gerar</t>
        </is>
      </c>
    </row>
    <row r="118">
      <c r="A118" s="10" t="inlineStr">
        <is>
          <t>F5 — Detalhe gola e ombro (marrom)</t>
        </is>
      </c>
      <c r="B118" s="10" t="inlineStr">
        <is>
          <t>Origem: foto #5 da galeria (marrom, recorte do nariz ao peito)</t>
        </is>
      </c>
      <c r="C118" s="10" t="inlineStr">
        <is>
          <t>4:5</t>
        </is>
      </c>
      <c r="D118" s="11" t="inlineStr">
        <is>
          <t>A gerar</t>
        </is>
      </c>
    </row>
    <row r="119">
      <c r="A119" s="10" t="inlineStr">
        <is>
          <t>F6 — Frontal mãos juntas (marrom)</t>
        </is>
      </c>
      <c r="B119" s="10" t="inlineStr">
        <is>
          <t>Origem: foto #6 da galeria (marrom, frontal, mãos juntas na cintura)</t>
        </is>
      </c>
      <c r="C119" s="10" t="inlineStr">
        <is>
          <t>4:5</t>
        </is>
      </c>
      <c r="D119" s="11" t="inlineStr">
        <is>
          <t>A gerar</t>
        </is>
      </c>
    </row>
    <row r="120">
      <c r="A120" s="10" t="inlineStr">
        <is>
          <t>F7 — 3/4 pinçando a manga (marrom)</t>
        </is>
      </c>
      <c r="B120" s="10" t="inlineStr">
        <is>
          <t>Origem: foto #7 da galeria (marrom, 3/4 inclinado para a câmera, mão pinçando a manga esquerda)</t>
        </is>
      </c>
      <c r="C120" s="10" t="inlineStr">
        <is>
          <t>4:5</t>
        </is>
      </c>
      <c r="D120" s="11" t="inlineStr">
        <is>
          <t>A gerar</t>
        </is>
      </c>
    </row>
    <row r="121">
      <c r="A121" s="10" t="inlineStr">
        <is>
          <t>F8 — Polegares nos bolsos (off-white)</t>
        </is>
      </c>
      <c r="B121" s="10" t="inlineStr">
        <is>
          <t>Origem: foto #8 da galeria (off-white, rosto cortado no nariz, polegares nos bolsos do jeans) — cor original 'off-white', calça 'light-wash ripped blue jeans'</t>
        </is>
      </c>
      <c r="C121" s="10" t="inlineStr">
        <is>
          <t>4:5</t>
        </is>
      </c>
      <c r="D121" s="11" t="inlineStr">
        <is>
          <t>A gerar</t>
        </is>
      </c>
    </row>
    <row r="122">
      <c r="A122" s="10" t="inlineStr">
        <is>
          <t>F9 — Ajustando o bracelete (off-white)</t>
        </is>
      </c>
      <c r="B122" s="10" t="inlineStr">
        <is>
          <t>Origem: foto #9 da galeria (off-white, rosto cortado no nariz, mãos ajustando o bracelete)</t>
        </is>
      </c>
      <c r="C122" s="10" t="inlineStr">
        <is>
          <t>4:5</t>
        </is>
      </c>
      <c r="D122" s="11" t="inlineStr">
        <is>
          <t>A gerar</t>
        </is>
      </c>
    </row>
    <row r="123">
      <c r="A123" s="10" t="inlineStr">
        <is>
          <t>F10 — Detalhe gola e manga (off-white)</t>
        </is>
      </c>
      <c r="B123" s="10" t="inlineStr">
        <is>
          <t>Origem: foto #10 da galeria (off-white, recorte dos lábios ao peito)</t>
        </is>
      </c>
      <c r="C123" s="10" t="inlineStr">
        <is>
          <t>4:5</t>
        </is>
      </c>
      <c r="D123" s="11" t="inlineStr">
        <is>
          <t>A gerar</t>
        </is>
      </c>
    </row>
    <row r="124">
      <c r="A124" s="10" t="inlineStr">
        <is>
          <t>F11 — Detalhe gola e manga (azul)</t>
        </is>
      </c>
      <c r="B124" s="10" t="inlineStr">
        <is>
          <t>Origem: foto #11 da galeria (azul lavanda, recorte do nariz ao peito) — cor original 'soft periwinkle lavender blue'</t>
        </is>
      </c>
      <c r="C124" s="10" t="inlineStr">
        <is>
          <t>4:5</t>
        </is>
      </c>
      <c r="D124" s="11" t="inlineStr">
        <is>
          <t>A gerar</t>
        </is>
      </c>
    </row>
    <row r="125">
      <c r="A125" s="10" t="inlineStr">
        <is>
          <t>F12 — Frontal mãos juntas (azul)</t>
        </is>
      </c>
      <c r="B125" s="10" t="inlineStr">
        <is>
          <t>Origem: foto #12 da galeria (azul, frontal, mãos juntas na frente)</t>
        </is>
      </c>
      <c r="C125" s="10" t="inlineStr">
        <is>
          <t>4:5</t>
        </is>
      </c>
      <c r="D125" s="11" t="inlineStr">
        <is>
          <t>A gerar</t>
        </is>
      </c>
    </row>
    <row r="126">
      <c r="A126" s="10" t="inlineStr">
        <is>
          <t>F13 — Leve 3/4 olhar para o lado (azul)</t>
        </is>
      </c>
      <c r="B126" s="10" t="inlineStr">
        <is>
          <t>Origem: foto #13 da galeria (azul, leve 3/4, olhar para a esquerda da câmera)</t>
        </is>
      </c>
      <c r="C126" s="10" t="inlineStr">
        <is>
          <t>4:5</t>
        </is>
      </c>
      <c r="D126" s="11" t="inlineStr">
        <is>
          <t>A gerar</t>
        </is>
      </c>
    </row>
    <row r="127">
      <c r="A127" s="10" t="inlineStr">
        <is>
          <t>F14 — Frontal braços soltos (verde)</t>
        </is>
      </c>
      <c r="B127" s="10" t="inlineStr">
        <is>
          <t>Origem: foto #14 da galeria (verde-oliva acinzentado, frontal) — cor original 'muted gray-olive green'</t>
        </is>
      </c>
      <c r="C127" s="10" t="inlineStr">
        <is>
          <t>4:5</t>
        </is>
      </c>
      <c r="D127" s="11" t="inlineStr">
        <is>
          <t>A gerar</t>
        </is>
      </c>
    </row>
    <row r="128">
      <c r="A128" s="10" t="inlineStr">
        <is>
          <t>F15 — Detalhe gola e ombro (verde)</t>
        </is>
      </c>
      <c r="B128" s="10" t="inlineStr">
        <is>
          <t>Origem: foto #15 da galeria (verde, recorte do nariz ao peito)</t>
        </is>
      </c>
      <c r="C128" s="10" t="inlineStr">
        <is>
          <t>4:5</t>
        </is>
      </c>
      <c r="D128" s="11" t="inlineStr">
        <is>
          <t>A gerar</t>
        </is>
      </c>
    </row>
    <row r="129">
      <c r="A129" s="10" t="inlineStr">
        <is>
          <t>F16 — Macro da textura</t>
        </is>
      </c>
      <c r="B129" s="10" t="inlineStr">
        <is>
          <t>Origem: derivado dos detalhes #2, #10 e #15 — close só do tecido para mostrar a micro-ondulação</t>
        </is>
      </c>
      <c r="C129" s="10" t="inlineStr">
        <is>
          <t>4:5</t>
        </is>
      </c>
      <c r="D129" s="11" t="inlineStr">
        <is>
          <t>A gerar</t>
        </is>
      </c>
    </row>
  </sheetData>
  <mergeCells count="48">
    <mergeCell ref="B4:F4"/>
    <mergeCell ref="A99:C99"/>
    <mergeCell ref="B7:F7"/>
    <mergeCell ref="A90:F90"/>
    <mergeCell ref="B30:E30"/>
    <mergeCell ref="A89:F89"/>
    <mergeCell ref="B15:E15"/>
    <mergeCell ref="D97:F97"/>
    <mergeCell ref="B24:E24"/>
    <mergeCell ref="B20:E20"/>
    <mergeCell ref="A86:F86"/>
    <mergeCell ref="A95:C95"/>
    <mergeCell ref="B26:E26"/>
    <mergeCell ref="A85:F85"/>
    <mergeCell ref="D102:F102"/>
    <mergeCell ref="B11:F11"/>
    <mergeCell ref="B16:E16"/>
    <mergeCell ref="A97:C97"/>
    <mergeCell ref="B25:E25"/>
    <mergeCell ref="B8:F8"/>
    <mergeCell ref="A53:F53"/>
    <mergeCell ref="A96:C96"/>
    <mergeCell ref="B22:E22"/>
    <mergeCell ref="B31:E31"/>
    <mergeCell ref="B18:E18"/>
    <mergeCell ref="B27:E27"/>
    <mergeCell ref="D98:F98"/>
    <mergeCell ref="D94:F94"/>
    <mergeCell ref="B10:F10"/>
    <mergeCell ref="B21:E21"/>
    <mergeCell ref="A40:F40"/>
    <mergeCell ref="D100:F100"/>
    <mergeCell ref="B9:F9"/>
    <mergeCell ref="B17:E17"/>
    <mergeCell ref="B23:E23"/>
    <mergeCell ref="A98:C98"/>
    <mergeCell ref="D99:F99"/>
    <mergeCell ref="B6:F6"/>
    <mergeCell ref="A94:C94"/>
    <mergeCell ref="B5:F5"/>
    <mergeCell ref="B29:E29"/>
    <mergeCell ref="A88:F88"/>
    <mergeCell ref="D96:F96"/>
    <mergeCell ref="B19:E19"/>
    <mergeCell ref="D101:F101"/>
    <mergeCell ref="B28:E28"/>
    <mergeCell ref="A87:F87"/>
    <mergeCell ref="D95:F9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21"/>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P21 — Camiseta Waffle Knit Texture 240g — faixas trançadas horizontais</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HMZT-P21-REG-WFK240</t>
        </is>
      </c>
    </row>
    <row r="5">
      <c r="A5" s="24" t="inlineStr">
        <is>
          <t>Fornecedor</t>
        </is>
      </c>
      <c r="B5" s="2" t="inlineStr">
        <is>
          <t>Lunfe Malhas — fabricação própria, Itajaí-SC</t>
        </is>
      </c>
    </row>
    <row r="6">
      <c r="A6" s="24" t="inlineStr">
        <is>
          <t>Referência</t>
        </is>
      </c>
      <c r="B6" s="2" t="inlineStr">
        <is>
          <t>7896698542020 (EAN-13)</t>
        </is>
      </c>
    </row>
    <row r="7">
      <c r="A7" s="24" t="inlineStr">
        <is>
          <t>URL</t>
        </is>
      </c>
      <c r="B7" s="2" t="inlineStr">
        <is>
          <t>lunfemalhas.com.br/camiseta-waffle-knit-texture-240g-atacado-lunfe</t>
        </is>
      </c>
    </row>
    <row r="8">
      <c r="A8" s="24" t="inlineStr">
        <is>
          <t>Categoria no site</t>
        </is>
      </c>
      <c r="B8" s="2" t="inlineStr">
        <is>
          <t>Camisetas › Malhas Texturizadas</t>
        </is>
      </c>
    </row>
    <row r="9">
      <c r="A9" s="24" t="inlineStr">
        <is>
          <t>Linha HMZT recomendada</t>
        </is>
      </c>
      <c r="B9" s="2" t="inlineStr">
        <is>
          <t>Textura (nova) — casual de fim de semana e presente</t>
        </is>
      </c>
    </row>
    <row r="10">
      <c r="A10" s="24" t="inlineStr">
        <is>
          <t>Estoque</t>
        </is>
      </c>
      <c r="B10" s="2" t="inlineStr">
        <is>
          <t>✅ Em estoque — seletor com Marrom, Preto, Off White; "a partir de R$ 53,10"</t>
        </is>
      </c>
    </row>
    <row r="11">
      <c r="A11" s="24" t="inlineStr">
        <is>
          <t>Descritor canônico (IA)</t>
        </is>
      </c>
      <c r="B11" s="2" t="inlineStr">
        <is>
          <t>Camiseta masculina regular fit, manga curta, malha texturizada 240 g/m² com listras horizontais tom sobre tom: faixas lisas alternadas com faixas em relevo de micro-células (3–5 mm), visual de tricô artesanal; superfície fosca; gola careca em faixa lisa; barra dupla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52% algodão + 48% poliéster</t>
        </is>
      </c>
      <c r="C15" s="29" t="n"/>
      <c r="D15" s="29" t="n"/>
      <c r="E15" s="30" t="n"/>
    </row>
    <row r="16">
      <c r="A16" s="10" t="inlineStr">
        <is>
          <t>Origem do algodão</t>
        </is>
      </c>
      <c r="B16" s="10" t="inlineStr">
        <is>
          <t>"Algodão premium importado" — origem não informada</t>
        </is>
      </c>
      <c r="C16" s="29" t="n"/>
      <c r="D16" s="29" t="n"/>
      <c r="E16" s="30" t="n"/>
    </row>
    <row r="17">
      <c r="A17" s="10" t="inlineStr">
        <is>
          <t>Gramatura</t>
        </is>
      </c>
      <c r="B17" s="10" t="inlineStr">
        <is>
          <t>240 g/m²</t>
        </is>
      </c>
      <c r="C17" s="29" t="n"/>
      <c r="D17" s="29" t="n"/>
      <c r="E17" s="30" t="n"/>
    </row>
    <row r="18">
      <c r="A18" s="10" t="inlineStr">
        <is>
          <t>Textura</t>
        </is>
      </c>
      <c r="B18" s="10" t="inlineStr">
        <is>
          <t>Waffle Knit — faixas horizontais: faixas lisas alternadas com faixas em relevo de micro-células (3–5 mm)</t>
        </is>
      </c>
      <c r="C18" s="29" t="n"/>
      <c r="D18" s="29" t="n"/>
      <c r="E18" s="30" t="n"/>
    </row>
    <row r="19">
      <c r="A19" s="10" t="inlineStr">
        <is>
          <t>Construção</t>
        </is>
      </c>
      <c r="B19" s="10" t="inlineStr">
        <is>
          <t>Malha (tricô) texturizada — o texto chama de "tecelagem", termo errado para malha</t>
        </is>
      </c>
      <c r="C19" s="29" t="n"/>
      <c r="D19" s="29" t="n"/>
      <c r="E19" s="30" t="n"/>
    </row>
    <row r="20">
      <c r="A20" s="10" t="inlineStr">
        <is>
          <t>Modelagem</t>
        </is>
      </c>
      <c r="B20" s="10" t="inlineStr">
        <is>
          <t>Regular fit</t>
        </is>
      </c>
      <c r="C20" s="29" t="n"/>
      <c r="D20" s="29" t="n"/>
      <c r="E20" s="30" t="n"/>
    </row>
    <row r="21">
      <c r="A21" s="10" t="inlineStr">
        <is>
          <t>Gola</t>
        </is>
      </c>
      <c r="B21" s="10" t="inlineStr">
        <is>
          <t>Ribana lisa, acabamento clean (faixa lisa, sem canelado aparente)</t>
        </is>
      </c>
      <c r="C21" s="29" t="n"/>
      <c r="D21" s="29" t="n"/>
      <c r="E21" s="30" t="n"/>
    </row>
    <row r="22">
      <c r="A22" s="10" t="inlineStr">
        <is>
          <t>Acabamentos</t>
        </is>
      </c>
      <c r="B22" s="10" t="inlineStr">
        <is>
          <t>Costura reforçada em todas as emendas; barra dupla</t>
        </is>
      </c>
      <c r="C22" s="29" t="n"/>
      <c r="D22" s="29" t="n"/>
      <c r="E22" s="30" t="n"/>
    </row>
    <row r="23">
      <c r="A23" s="10" t="inlineStr">
        <is>
          <t>Tratamentos</t>
        </is>
      </c>
      <c r="B23" s="10" t="inlineStr">
        <is>
          <t>Pré-encolhimento, anti-torção, fixação de cor de alta solidez</t>
        </is>
      </c>
      <c r="C23" s="29" t="n"/>
      <c r="D23" s="29" t="n"/>
      <c r="E23" s="30" t="n"/>
    </row>
    <row r="24">
      <c r="A24" s="10" t="inlineStr">
        <is>
          <t>Tamanhos</t>
        </is>
      </c>
      <c r="B24" s="10" t="inlineStr">
        <is>
          <t>P, M, G, GG, EG (5)</t>
        </is>
      </c>
      <c r="C24" s="29" t="n"/>
      <c r="D24" s="29" t="n"/>
      <c r="E24" s="30" t="n"/>
    </row>
    <row r="25">
      <c r="A25" s="10" t="inlineStr">
        <is>
          <t>Cuidados</t>
        </is>
      </c>
      <c r="B25" s="10" t="inlineStr">
        <is>
          <t>Lavar do avesso, ciclo delicado, 30 °C</t>
        </is>
      </c>
      <c r="C25" s="29" t="n"/>
      <c r="D25" s="29" t="n"/>
      <c r="E25" s="30" t="n"/>
    </row>
    <row r="26">
      <c r="A26" s="10" t="inlineStr">
        <is>
          <t>Produção</t>
        </is>
      </c>
      <c r="B26" s="10" t="inlineStr">
        <is>
          <t>Fabricação própria Lunfe — Itajaí, SC</t>
        </is>
      </c>
      <c r="C26" s="29" t="n"/>
      <c r="D26" s="29" t="n"/>
      <c r="E26" s="30" t="n"/>
    </row>
    <row r="27">
      <c r="A27" s="10" t="inlineStr">
        <is>
          <t>Nota fiscal</t>
        </is>
      </c>
      <c r="B27" s="10" t="inlineStr">
        <is>
          <t>NF-e com CFOP de revenda (Simples, Presumido, Real)</t>
        </is>
      </c>
      <c r="C27" s="29" t="n"/>
      <c r="D27" s="29" t="n"/>
      <c r="E27" s="30" t="n"/>
    </row>
    <row r="28">
      <c r="A28" s="10" t="inlineStr">
        <is>
          <t>"Textura permanente, não some na lavagem"</t>
        </is>
      </c>
      <c r="B28" s="10" t="inlineStr">
        <is>
          <t>Sem laudo de teste de lavagem</t>
        </is>
      </c>
      <c r="C28" s="29" t="n"/>
      <c r="D28" s="29" t="n"/>
      <c r="E28" s="30" t="n"/>
    </row>
    <row r="29">
      <c r="A29" s="10" t="inlineStr">
        <is>
          <t>"Ticket 40–60% acima da lisa"</t>
        </is>
      </c>
      <c r="B29" s="10" t="inlineStr">
        <is>
          <t>Sem fonte</t>
        </is>
      </c>
      <c r="C29" s="29" t="n"/>
      <c r="D29" s="29" t="n"/>
      <c r="E29" s="30" t="n"/>
    </row>
    <row r="30">
      <c r="A30" s="10" t="inlineStr">
        <is>
          <t>Brilho</t>
        </is>
      </c>
      <c r="B30" s="10" t="inlineStr">
        <is>
          <t>Fosco</t>
        </is>
      </c>
      <c r="C30" s="29" t="n"/>
      <c r="D30" s="29" t="n"/>
      <c r="E30" s="30" t="n"/>
    </row>
    <row r="31">
      <c r="A31" s="10" t="inlineStr">
        <is>
          <t>Nome "waffle"</t>
        </is>
      </c>
      <c r="B31" s="10" t="inlineStr">
        <is>
          <t>As fotos mostram listras horizontais de micro-bolinhas (tipo pipoca/arroz), não a grade quadriculada de um waffle</t>
        </is>
      </c>
      <c r="C31" s="29" t="n"/>
      <c r="D31" s="29" t="n"/>
      <c r="E31" s="30" t="n"/>
    </row>
    <row r="33">
      <c r="A33" s="27" t="inlineStr">
        <is>
          <t>3. Tabela de medidas (cm)</t>
        </is>
      </c>
      <c r="B33" s="28" t="n"/>
      <c r="C33" s="28" t="n"/>
      <c r="D33" s="28" t="n"/>
      <c r="E33" s="28" t="n"/>
      <c r="F33" s="28" t="n"/>
    </row>
    <row r="34">
      <c r="A34" s="9" t="inlineStr">
        <is>
          <t>Tamanho</t>
        </is>
      </c>
      <c r="B34" s="9" t="inlineStr">
        <is>
          <t>Comprimento</t>
        </is>
      </c>
      <c r="C34" s="9" t="inlineStr">
        <is>
          <t>Largura</t>
        </is>
      </c>
      <c r="D34" s="9" t="inlineStr">
        <is>
          <t>Ombros</t>
        </is>
      </c>
      <c r="E34" s="9" t="inlineStr">
        <is>
          <t>Mangas</t>
        </is>
      </c>
    </row>
    <row r="35">
      <c r="A35" s="10" t="inlineStr">
        <is>
          <t>P</t>
        </is>
      </c>
      <c r="B35" s="11" t="n">
        <v>70</v>
      </c>
      <c r="C35" s="11" t="n">
        <v>52</v>
      </c>
      <c r="D35" s="11" t="n">
        <v>44</v>
      </c>
      <c r="E35" s="11" t="n">
        <v>16</v>
      </c>
    </row>
    <row r="36">
      <c r="A36" s="10" t="inlineStr">
        <is>
          <t>M</t>
        </is>
      </c>
      <c r="B36" s="11" t="n">
        <v>72</v>
      </c>
      <c r="C36" s="11" t="n">
        <v>54</v>
      </c>
      <c r="D36" s="11" t="n">
        <v>46</v>
      </c>
      <c r="E36" s="11" t="n">
        <v>18</v>
      </c>
    </row>
    <row r="37">
      <c r="A37" s="10" t="inlineStr">
        <is>
          <t>G</t>
        </is>
      </c>
      <c r="B37" s="11" t="n">
        <v>74</v>
      </c>
      <c r="C37" s="11" t="n">
        <v>56</v>
      </c>
      <c r="D37" s="11" t="n">
        <v>48</v>
      </c>
      <c r="E37" s="11" t="n">
        <v>20</v>
      </c>
    </row>
    <row r="38">
      <c r="A38" s="10" t="inlineStr">
        <is>
          <t>GG</t>
        </is>
      </c>
      <c r="B38" s="11" t="n">
        <v>76</v>
      </c>
      <c r="C38" s="11" t="n">
        <v>58</v>
      </c>
      <c r="D38" s="11" t="n">
        <v>50</v>
      </c>
      <c r="E38" s="11" t="n">
        <v>22</v>
      </c>
    </row>
    <row r="39">
      <c r="A39" s="10" t="inlineStr">
        <is>
          <t>EG</t>
        </is>
      </c>
      <c r="B39" s="11" t="n">
        <v>78</v>
      </c>
      <c r="C39" s="11" t="n">
        <v>60</v>
      </c>
      <c r="D39" s="11" t="n">
        <v>52</v>
      </c>
      <c r="E39" s="11" t="n">
        <v>24</v>
      </c>
    </row>
    <row r="40" ht="30" customHeight="1">
      <c r="A40" s="2" t="inlineStr">
        <is>
          <t>Tabela do fornecedor em cm, medida em repouso, tolerância ± 2 cm. É a mesma tabela única dos produtos regulares Lunfe (M = 72 × 54, ombro 46, manga 18). Modelo das fotos: 1,84 m · 84 kg · veste M.</t>
        </is>
      </c>
    </row>
    <row r="41">
      <c r="A41" s="15" t="inlineStr">
        <is>
          <t>Modelo das fotos: 1,84 m · 84 kg · veste M</t>
        </is>
      </c>
    </row>
    <row r="43">
      <c r="A43" s="27" t="inlineStr">
        <is>
          <t>4. Cores disponíveis</t>
        </is>
      </c>
      <c r="B43" s="28" t="n"/>
      <c r="C43" s="28" t="n"/>
      <c r="D43" s="28" t="n"/>
      <c r="E43" s="28" t="n"/>
      <c r="F43" s="28" t="n"/>
    </row>
    <row r="44">
      <c r="A44" s="9" t="inlineStr">
        <is>
          <t>Cor</t>
        </is>
      </c>
      <c r="B44" s="9" t="inlineStr">
        <is>
          <t>Código HMZT</t>
        </is>
      </c>
      <c r="C44" s="9" t="inlineStr">
        <is>
          <t>Ref. fornecedor</t>
        </is>
      </c>
      <c r="D44" s="9" t="inlineStr">
        <is>
          <t>Observação</t>
        </is>
      </c>
    </row>
    <row r="45">
      <c r="A45" s="10" t="inlineStr">
        <is>
          <t>Preto</t>
        </is>
      </c>
      <c r="B45" s="10" t="inlineStr">
        <is>
          <t>PRT</t>
        </is>
      </c>
      <c r="C45" s="10" t="inlineStr">
        <is>
          <t>WFK-PRT</t>
        </is>
      </c>
      <c r="D45" s="10" t="inlineStr">
        <is>
          <t>Fotos #4–#6</t>
        </is>
      </c>
    </row>
    <row r="46">
      <c r="A46" s="10" t="inlineStr">
        <is>
          <t>Off White</t>
        </is>
      </c>
      <c r="B46" s="10" t="inlineStr">
        <is>
          <t>OFF</t>
        </is>
      </c>
      <c r="C46" s="10" t="inlineStr">
        <is>
          <t>WFK-OFW</t>
        </is>
      </c>
      <c r="D46" s="10" t="inlineStr">
        <is>
          <t>Fotos #7–#9</t>
        </is>
      </c>
    </row>
    <row r="47">
      <c r="A47" s="10" t="inlineStr">
        <is>
          <t>Bege</t>
        </is>
      </c>
      <c r="B47" s="10" t="inlineStr">
        <is>
          <t>BGE</t>
        </is>
      </c>
      <c r="C47" s="10" t="inlineStr">
        <is>
          <t>WFK-BGE</t>
        </is>
      </c>
      <c r="D47" s="10" t="inlineStr">
        <is>
          <t>Fotos #1–#3 (areia claro); no seletor não há bege — aparece "Marrom" ⚠️</t>
        </is>
      </c>
    </row>
    <row r="48">
      <c r="A48" s="10" t="inlineStr">
        <is>
          <t>Marrom</t>
        </is>
      </c>
      <c r="B48" s="10" t="inlineStr">
        <is>
          <t>MRR</t>
        </is>
      </c>
      <c r="C48" s="10" t="inlineStr">
        <is>
          <t>WFK-MRR</t>
        </is>
      </c>
      <c r="D48" s="10" t="inlineStr">
        <is>
          <t>No seletor e no texto; não aparece nas fotos (ou é o bege das fotos?)</t>
        </is>
      </c>
    </row>
    <row r="49">
      <c r="A49" s="10" t="inlineStr">
        <is>
          <t>Marinho</t>
        </is>
      </c>
      <c r="B49" s="10" t="inlineStr">
        <is>
          <t>MAR</t>
        </is>
      </c>
      <c r="C49" s="10" t="inlineStr">
        <is>
          <t>WFK-MRN</t>
        </is>
      </c>
      <c r="D49" s="10" t="inlineStr">
        <is>
          <t>Só no texto</t>
        </is>
      </c>
    </row>
    <row r="50" ht="30" customHeight="1">
      <c r="A50" s="2" t="inlineStr">
        <is>
          <t>Texto: 5 cores. Seletor: Marrom, Preto, Off White. Fotos: bege/areia, preto, off-white. Confirmar se o "Marrom" do seletor é o bege das fotos.</t>
        </is>
      </c>
    </row>
    <row r="52">
      <c r="A52" s="27" t="inlineStr">
        <is>
          <t>5. Personalização (preço sempre sob orçamento)</t>
        </is>
      </c>
      <c r="B52" s="28" t="n"/>
      <c r="C52" s="28" t="n"/>
      <c r="D52" s="28" t="n"/>
      <c r="E52" s="28" t="n"/>
      <c r="F52" s="28" t="n"/>
    </row>
    <row r="53">
      <c r="A53" s="9" t="inlineStr">
        <is>
          <t>Técnica</t>
        </is>
      </c>
      <c r="B53" s="9" t="inlineStr">
        <is>
          <t>Detalhe</t>
        </is>
      </c>
      <c r="C53" s="9" t="inlineStr">
        <is>
          <t>Mínimo</t>
        </is>
      </c>
    </row>
    <row r="54">
      <c r="A54" s="10" t="inlineStr">
        <is>
          <t>Silk screen</t>
        </is>
      </c>
      <c r="B54" s="10" t="inlineStr">
        <is>
          <t>Até 4 cores; a textura cria fundo irregular — preferir arte pequena. ⚠️ Anti-migração em cores escuras</t>
        </is>
      </c>
      <c r="C54" s="10" t="inlineStr">
        <is>
          <t>20 pç</t>
        </is>
      </c>
    </row>
    <row r="55">
      <c r="A55" s="10" t="inlineStr">
        <is>
          <t>DTF</t>
        </is>
      </c>
      <c r="B55" s="10" t="inlineStr">
        <is>
          <t>Full color; ⚠️ a prensa achata as micro-células — testar</t>
        </is>
      </c>
      <c r="C55" s="10" t="inlineStr">
        <is>
          <t>20 pç</t>
        </is>
      </c>
    </row>
    <row r="56">
      <c r="A56" s="10" t="inlineStr">
        <is>
          <t>Bordado</t>
        </is>
      </c>
      <c r="B56" s="10" t="inlineStr">
        <is>
          <t>Peito e mangas; contraste fio liso × textura — melhor opção</t>
        </is>
      </c>
      <c r="C56" s="10" t="inlineStr">
        <is>
          <t>20 pç</t>
        </is>
      </c>
    </row>
    <row r="57">
      <c r="A57" s="10" t="inlineStr">
        <is>
          <t>Etiqueta private label</t>
        </is>
      </c>
      <c r="B57" s="10" t="inlineStr">
        <is>
          <t>Etiqueta interna costurada + tag externa</t>
        </is>
      </c>
      <c r="C57" s="10" t="inlineStr">
        <is>
          <t>20 pç</t>
        </is>
      </c>
    </row>
    <row r="58">
      <c r="A58" s="10" t="inlineStr">
        <is>
          <t>Embalagem customizada</t>
        </is>
      </c>
      <c r="B58" s="10" t="inlineStr">
        <is>
          <t>Saco com logo, caixa premium, tag especial</t>
        </is>
      </c>
      <c r="C58" s="10" t="inlineStr">
        <is>
          <t>50 pç</t>
        </is>
      </c>
    </row>
    <row r="59">
      <c r="A59" s="10" t="inlineStr">
        <is>
          <t>Cor Pantone</t>
        </is>
      </c>
      <c r="B59" s="10" t="inlineStr">
        <is>
          <t>Tingimento exclusivo, 15–25 dias úteis</t>
        </is>
      </c>
      <c r="C59" s="10" t="inlineStr">
        <is>
          <t>100 pç/cor</t>
        </is>
      </c>
    </row>
    <row r="61">
      <c r="A61" s="27" t="inlineStr">
        <is>
          <t>6. Preços do fornecedor (desconto progressivo)</t>
        </is>
      </c>
      <c r="B61" s="28" t="n"/>
      <c r="C61" s="28" t="n"/>
      <c r="D61" s="28" t="n"/>
      <c r="E61" s="28" t="n"/>
      <c r="F61" s="28" t="n"/>
    </row>
    <row r="62">
      <c r="A62" s="24" t="inlineStr">
        <is>
          <t>Preço base (R$)</t>
        </is>
      </c>
      <c r="B62" s="31" t="n">
        <v>59</v>
      </c>
    </row>
    <row r="63">
      <c r="A63" s="17" t="inlineStr">
        <is>
          <t>Faixa</t>
        </is>
      </c>
      <c r="B63" s="17" t="inlineStr">
        <is>
          <t>Peças</t>
        </is>
      </c>
      <c r="C63" s="17" t="inlineStr">
        <is>
          <t>Desconto</t>
        </is>
      </c>
      <c r="D63" s="17" t="inlineStr">
        <is>
          <t>Preço unitário</t>
        </is>
      </c>
      <c r="E63" s="17" t="inlineStr">
        <is>
          <t>Preço + Pix</t>
        </is>
      </c>
    </row>
    <row r="64">
      <c r="A64" s="18" t="inlineStr">
        <is>
          <t>Faixa 1</t>
        </is>
      </c>
      <c r="B64" s="18" t="inlineStr">
        <is>
          <t>20–40</t>
        </is>
      </c>
      <c r="C64" s="32">
        <f>'Regras Fornecedor'!$D$4</f>
        <v/>
      </c>
      <c r="D64" s="33">
        <f>ROUND($B$62*(1-C64),2)</f>
        <v/>
      </c>
      <c r="E64" s="34">
        <f>ROUND(D64*(1-'Regras Fornecedor'!$B$10),2)</f>
        <v/>
      </c>
    </row>
    <row r="65">
      <c r="A65" s="18" t="inlineStr">
        <is>
          <t>Faixa 2</t>
        </is>
      </c>
      <c r="B65" s="18" t="inlineStr">
        <is>
          <t>40–80</t>
        </is>
      </c>
      <c r="C65" s="32">
        <f>'Regras Fornecedor'!$D$5</f>
        <v/>
      </c>
      <c r="D65" s="33">
        <f>ROUND($B$62*(1-C65),2)</f>
        <v/>
      </c>
      <c r="E65" s="34">
        <f>ROUND(D65*(1-'Regras Fornecedor'!$B$10),2)</f>
        <v/>
      </c>
    </row>
    <row r="66">
      <c r="A66" s="18" t="inlineStr">
        <is>
          <t>Faixa 3</t>
        </is>
      </c>
      <c r="B66" s="18" t="inlineStr">
        <is>
          <t>80–100</t>
        </is>
      </c>
      <c r="C66" s="32">
        <f>'Regras Fornecedor'!$D$6</f>
        <v/>
      </c>
      <c r="D66" s="33">
        <f>ROUND($B$62*(1-C66),2)</f>
        <v/>
      </c>
      <c r="E66" s="34">
        <f>ROUND(D66*(1-'Regras Fornecedor'!$B$10),2)</f>
        <v/>
      </c>
    </row>
    <row r="67">
      <c r="A67" s="18" t="inlineStr">
        <is>
          <t>Faixa 4</t>
        </is>
      </c>
      <c r="B67" s="18" t="inlineStr">
        <is>
          <t>100–300</t>
        </is>
      </c>
      <c r="C67" s="32">
        <f>'Regras Fornecedor'!$D$7</f>
        <v/>
      </c>
      <c r="D67" s="33">
        <f>ROUND($B$62*(1-C67),2)</f>
        <v/>
      </c>
      <c r="E67" s="34">
        <f>ROUND(D67*(1-'Regras Fornecedor'!$B$10),2)</f>
        <v/>
      </c>
    </row>
    <row r="68">
      <c r="A68" s="18" t="inlineStr">
        <is>
          <t>Faixa 5</t>
        </is>
      </c>
      <c r="B68" s="18" t="inlineStr">
        <is>
          <t>300–999</t>
        </is>
      </c>
      <c r="C68" s="32">
        <f>'Regras Fornecedor'!$D$8</f>
        <v/>
      </c>
      <c r="D68" s="33">
        <f>ROUND($B$62*(1-C68),2)</f>
        <v/>
      </c>
      <c r="E68" s="34">
        <f>ROUND(D68*(1-'Regras Fornecedor'!$B$10),2)</f>
        <v/>
      </c>
    </row>
    <row r="70">
      <c r="A70" s="27" t="inlineStr">
        <is>
          <t>7. Custo HMZT e margem (lote de 20 peças, Pix)</t>
        </is>
      </c>
      <c r="B70" s="28" t="n"/>
      <c r="C70" s="28" t="n"/>
      <c r="D70" s="28" t="n"/>
      <c r="E70" s="28" t="n"/>
      <c r="F70" s="28" t="n"/>
    </row>
    <row r="71">
      <c r="A71" s="24" t="inlineStr">
        <is>
          <t>Peça (20 pç, Pix)</t>
        </is>
      </c>
      <c r="B71" s="35">
        <f>E64</f>
        <v/>
      </c>
    </row>
    <row r="72">
      <c r="A72" s="24" t="inlineStr">
        <is>
          <t>Personalização + etiqueta + tag (R$/pç)</t>
        </is>
      </c>
      <c r="B72" s="36" t="n">
        <v>10</v>
      </c>
      <c r="C72" s="15" t="inlineStr">
        <is>
          <t>Estimativa HMZT — trocar pelo orçamento real</t>
        </is>
      </c>
    </row>
    <row r="73">
      <c r="A73" s="24" t="inlineStr">
        <is>
          <t>Frete rateado + embalagem (R$/pç)</t>
        </is>
      </c>
      <c r="B73" s="36" t="n">
        <v>4</v>
      </c>
      <c r="C73" s="15" t="inlineStr">
        <is>
          <t>Estimativa HMZT — trocar pelo orçamento real</t>
        </is>
      </c>
    </row>
    <row r="74">
      <c r="A74" s="24" t="inlineStr">
        <is>
          <t>Custo unitário estimado</t>
        </is>
      </c>
      <c r="B74" s="37">
        <f>SUM(B71:B73)</f>
        <v/>
      </c>
    </row>
    <row r="75">
      <c r="A75" s="24" t="inlineStr">
        <is>
          <t>Preço de venda HMZT (R$)</t>
        </is>
      </c>
      <c r="B75" s="36" t="n">
        <v>149</v>
      </c>
      <c r="C75" s="15" t="inlineStr">
        <is>
          <t>Sugestão do dossiê — ajustar</t>
        </is>
      </c>
    </row>
    <row r="76">
      <c r="A76" s="24" t="inlineStr">
        <is>
          <t>Impostos + gateway (% do preço)</t>
        </is>
      </c>
      <c r="B76" s="38" t="n">
        <v>0</v>
      </c>
      <c r="C76" s="15" t="inlineStr">
        <is>
          <t>A preencher (Simples + taxa Asaas)</t>
        </is>
      </c>
    </row>
    <row r="77">
      <c r="A77" s="24" t="inlineStr">
        <is>
          <t>Margem bruta (R$)</t>
        </is>
      </c>
      <c r="B77" s="35">
        <f>B75-B74</f>
        <v/>
      </c>
    </row>
    <row r="78">
      <c r="A78" s="24" t="inlineStr">
        <is>
          <t>Margem bruta (%)</t>
        </is>
      </c>
      <c r="B78" s="39">
        <f>IF(B75=0,0,(B75-B74)/B75)</f>
        <v/>
      </c>
    </row>
    <row r="79">
      <c r="A79" s="24" t="inlineStr">
        <is>
          <t>Margem após impostos/gateway (%)</t>
        </is>
      </c>
      <c r="B79" s="39">
        <f>IF(B75=0,0,(B75*(1-B76)-B74)/B75)</f>
        <v/>
      </c>
      <c r="C79" s="15" t="inlineStr">
        <is>
          <t>Ainda sem frete ao cliente e mídia</t>
        </is>
      </c>
    </row>
    <row r="81">
      <c r="A81" s="27" t="inlineStr">
        <is>
          <t>8. Contradições e erros ⚠️</t>
        </is>
      </c>
      <c r="B81" s="28" t="n"/>
      <c r="C81" s="28" t="n"/>
      <c r="D81" s="28" t="n"/>
      <c r="E81" s="28" t="n"/>
      <c r="F81" s="28" t="n"/>
    </row>
    <row r="82">
      <c r="A82" s="8" t="inlineStr">
        <is>
          <t>⚠️ Cores: seletor mostra Marrom, Preto, Off White; fotos mostram bege, preto, off-white; texto lista 5 cores.</t>
        </is>
      </c>
    </row>
    <row r="83">
      <c r="A83" s="8" t="inlineStr">
        <is>
          <t>⚠️ Composição 52% algodão / 48% poliéster, base R$ 59,00 — igual às outras três texturas verticais/horizontais.</t>
        </is>
      </c>
    </row>
    <row r="84">
      <c r="A84" s="8" t="inlineStr">
        <is>
          <t>⚠️ "Waffle" no nome, mas o visual é de listras horizontais com micro-bolinhas, não de grade de waffle.</t>
        </is>
      </c>
    </row>
    <row r="85">
      <c r="A85" s="8" t="inlineStr">
        <is>
          <t>⚠️ "Tecelagem com pontos alternados": é malha, não tecelagem.</t>
        </is>
      </c>
    </row>
    <row r="86">
      <c r="A86" s="8" t="inlineStr">
        <is>
          <t>⚠️ "Escala de 3–5 mm é a que os dedos mais percebem" — pseudo-ciência sem fonte.</t>
        </is>
      </c>
    </row>
    <row r="87">
      <c r="A87" s="8" t="inlineStr">
        <is>
          <t>⚠️ "Algodão premium importado" sem origem.</t>
        </is>
      </c>
    </row>
    <row r="89">
      <c r="A89" s="27" t="inlineStr">
        <is>
          <t>9. Comunicação HMZT</t>
        </is>
      </c>
      <c r="B89" s="28" t="n"/>
      <c r="C89" s="28" t="n"/>
      <c r="D89" s="28" t="n"/>
      <c r="E89" s="28" t="n"/>
      <c r="F89" s="28" t="n"/>
    </row>
    <row r="90">
      <c r="A90" s="24" t="inlineStr">
        <is>
          <t>✅ Pode usar</t>
        </is>
      </c>
      <c r="D90" s="24" t="inlineStr">
        <is>
          <t>📣 / ⛔ Não usar</t>
        </is>
      </c>
    </row>
    <row r="91">
      <c r="A91" s="40" t="inlineStr">
        <is>
          <t>"Textura de faixas horizontais com relevo, com visual de tricô artesanal."</t>
        </is>
      </c>
      <c r="D91" s="8" t="inlineStr">
        <is>
          <t>"Algodão premium importado" — origem não informada; o algodão importado da Lunfe é de Xinjiang nos P05/P06 (risco de marca)</t>
        </is>
      </c>
    </row>
    <row r="92">
      <c r="A92" s="40" t="inlineStr">
        <is>
          <t>"52% algodão, 48% poliéster" — sempre por extenso.</t>
        </is>
      </c>
      <c r="D92" s="8" t="inlineStr">
        <is>
          <t>"Ticket 40–60% acima da lisa", "margem real", "sustenta preço premium"</t>
        </is>
      </c>
    </row>
    <row r="93">
      <c r="A93" s="40" t="inlineStr">
        <is>
          <t>"Malha 240 g/m², pré-encolhida, anti-torção."</t>
        </is>
      </c>
      <c r="D93" s="8" t="inlineStr">
        <is>
          <t>"Categoria que está redefinindo o mercado", "dominando o mercado premium"</t>
        </is>
      </c>
    </row>
    <row r="94">
      <c r="A94" s="40" t="inlineStr">
        <is>
          <t>"Boa para presente com embalagem." (uso)</t>
        </is>
      </c>
      <c r="D94" s="8" t="inlineStr">
        <is>
          <t>"O cliente toca, não solta, compra" e demais afirmações de conversão sem fonte</t>
        </is>
      </c>
    </row>
    <row r="95">
      <c r="A95" s="40" t="inlineStr">
        <is>
          <t>"Fabricada em Santa Catarina."</t>
        </is>
      </c>
      <c r="D95" s="8" t="inlineStr">
        <is>
          <t>"Textura permanente por toda a vida útil" (sem laudo)</t>
        </is>
      </c>
    </row>
    <row r="96">
      <c r="D96" s="8" t="inlineStr">
        <is>
          <t>"Coleção texturizada mais completa do mercado atacadista brasileiro"</t>
        </is>
      </c>
    </row>
    <row r="97">
      <c r="D97" s="8" t="inlineStr">
        <is>
          <t>"Feita à mão", "artesanal" como fato — é industrial (pode dizer "visual artesanal")</t>
        </is>
      </c>
    </row>
    <row r="98">
      <c r="D98" s="8" t="inlineStr">
        <is>
          <t>"Compra por toque", "tempo de contato maior = mais conversão"</t>
        </is>
      </c>
    </row>
    <row r="99">
      <c r="D99" s="8" t="inlineStr">
        <is>
          <t>"Faixa que os dedos humanos mais respondem"</t>
        </is>
      </c>
    </row>
    <row r="100">
      <c r="D100" s="8" t="inlineStr">
        <is>
          <t>"Handmade look domina 2025–2026"</t>
        </is>
      </c>
    </row>
    <row r="102">
      <c r="A102" s="27" t="inlineStr">
        <is>
          <t>10. Pendências com o fornecedor</t>
        </is>
      </c>
      <c r="B102" s="28" t="n"/>
      <c r="C102" s="28" t="n"/>
      <c r="D102" s="28" t="n"/>
      <c r="E102" s="28" t="n"/>
      <c r="F102" s="28" t="n"/>
    </row>
    <row r="103">
      <c r="A103" s="9" t="inlineStr">
        <is>
          <t>Pendência</t>
        </is>
      </c>
      <c r="B103" s="9" t="inlineStr">
        <is>
          <t>Status</t>
        </is>
      </c>
      <c r="C103" s="9" t="inlineStr">
        <is>
          <t>Responsável</t>
        </is>
      </c>
      <c r="D103" s="9" t="inlineStr">
        <is>
          <t>Resposta</t>
        </is>
      </c>
    </row>
    <row r="104">
      <c r="A104" s="10" t="inlineStr">
        <is>
          <t>Cor "Marrom" do seletor = bege das fotos? Cartela e referências reais</t>
        </is>
      </c>
      <c r="B104" s="11" t="inlineStr">
        <is>
          <t>Aberta</t>
        </is>
      </c>
      <c r="C104" s="11" t="inlineStr"/>
      <c r="D104" s="11" t="inlineStr"/>
    </row>
    <row r="105">
      <c r="A105" s="10" t="inlineStr">
        <is>
          <t>Origem do "algodão premium importado"</t>
        </is>
      </c>
      <c r="B105" s="11" t="inlineStr">
        <is>
          <t>Aberta</t>
        </is>
      </c>
      <c r="C105" s="11" t="inlineStr"/>
      <c r="D105" s="11" t="inlineStr"/>
    </row>
    <row r="106">
      <c r="A106" s="10" t="inlineStr">
        <is>
          <t>Amostra: estrutura real (células em faixa × grade waffle)</t>
        </is>
      </c>
      <c r="B106" s="11" t="inlineStr">
        <is>
          <t>Aberta</t>
        </is>
      </c>
      <c r="C106" s="11" t="inlineStr"/>
      <c r="D106" s="11" t="inlineStr"/>
    </row>
    <row r="107">
      <c r="A107" s="10" t="inlineStr">
        <is>
          <t>Teste de DTF/silk sobre as células</t>
        </is>
      </c>
      <c r="B107" s="11" t="inlineStr">
        <is>
          <t>Aberta</t>
        </is>
      </c>
      <c r="C107" s="11" t="inlineStr"/>
      <c r="D107" s="11" t="inlineStr"/>
    </row>
    <row r="108">
      <c r="A108" s="10" t="inlineStr">
        <is>
          <t>Orçamento: bordado peito, etiqueta, tag, caixa de presente</t>
        </is>
      </c>
      <c r="B108" s="11" t="inlineStr">
        <is>
          <t>Aberta</t>
        </is>
      </c>
      <c r="C108" s="11" t="inlineStr"/>
      <c r="D108" s="11" t="inlineStr"/>
    </row>
    <row r="110">
      <c r="A110" s="27" t="inlineStr">
        <is>
          <t>11. Fluxo de prompts de lookbook (docs/shop-confeccao/prompts/P21-prompts.md)</t>
        </is>
      </c>
      <c r="B110" s="28" t="n"/>
      <c r="C110" s="28" t="n"/>
      <c r="D110" s="28" t="n"/>
      <c r="E110" s="28" t="n"/>
      <c r="F110" s="28" t="n"/>
    </row>
    <row r="111">
      <c r="A111" s="9" t="inlineStr">
        <is>
          <t>Foto</t>
        </is>
      </c>
      <c r="B111" s="9" t="inlineStr">
        <is>
          <t>Origem no print</t>
        </is>
      </c>
      <c r="C111" s="9" t="inlineStr">
        <is>
          <t>Formato</t>
        </is>
      </c>
      <c r="D111" s="9" t="inlineStr">
        <is>
          <t>Status</t>
        </is>
      </c>
    </row>
    <row r="112">
      <c r="A112" s="10" t="inlineStr">
        <is>
          <t>F1 — Frontal olhar para o lado (bege)</t>
        </is>
      </c>
      <c r="B112" s="10" t="inlineStr">
        <is>
          <t>Origem: foto #1 da galeria (bege, frontal, cabeça virada para a direita da câmera, jeans)</t>
        </is>
      </c>
      <c r="C112" s="10" t="inlineStr">
        <is>
          <t>4:5</t>
        </is>
      </c>
      <c r="D112" s="11" t="inlineStr">
        <is>
          <t>A gerar</t>
        </is>
      </c>
    </row>
    <row r="113">
      <c r="A113" s="10" t="inlineStr">
        <is>
          <t>F2 — 3/4 ajustando o bracelete (bege)</t>
        </is>
      </c>
      <c r="B113" s="10" t="inlineStr">
        <is>
          <t>Origem: foto #2 da galeria (bege, 3/4, cabeça inclinada, mãos na cintura)</t>
        </is>
      </c>
      <c r="C113" s="10" t="inlineStr">
        <is>
          <t>4:5</t>
        </is>
      </c>
      <c r="D113" s="11" t="inlineStr">
        <is>
          <t>A gerar</t>
        </is>
      </c>
    </row>
    <row r="114">
      <c r="A114" s="10" t="inlineStr">
        <is>
          <t>F3 — Detalhe gola e manga (bege)</t>
        </is>
      </c>
      <c r="B114" s="10" t="inlineStr">
        <is>
          <t>Origem: foto #3 da galeria (bege, recorte dos lábios ao peito, colar fino)</t>
        </is>
      </c>
      <c r="C114" s="10" t="inlineStr">
        <is>
          <t>4:5</t>
        </is>
      </c>
      <c r="D114" s="11" t="inlineStr">
        <is>
          <t>A gerar</t>
        </is>
      </c>
    </row>
    <row r="115">
      <c r="A115" s="10" t="inlineStr">
        <is>
          <t>F4 — Detalhe gola e manga (preto)</t>
        </is>
      </c>
      <c r="B115" s="10" t="inlineStr">
        <is>
          <t>Origem: foto #4 da galeria (preto, recorte dos lábios ao peito) — cor original 'black', calça 'off-white cream straight trousers'</t>
        </is>
      </c>
      <c r="C115" s="10" t="inlineStr">
        <is>
          <t>4:5</t>
        </is>
      </c>
      <c r="D115" s="11" t="inlineStr">
        <is>
          <t>A gerar</t>
        </is>
      </c>
    </row>
    <row r="116">
      <c r="A116" s="10" t="inlineStr">
        <is>
          <t>F5 — 3/4 mão no bolso (preto)</t>
        </is>
      </c>
      <c r="B116" s="10" t="inlineStr">
        <is>
          <t>Origem: foto #5 da galeria (preto, 3/4, mão esquerda no bolso, calça off-white)</t>
        </is>
      </c>
      <c r="C116" s="10" t="inlineStr">
        <is>
          <t>4:5</t>
        </is>
      </c>
      <c r="D116" s="11" t="inlineStr">
        <is>
          <t>A gerar</t>
        </is>
      </c>
    </row>
    <row r="117">
      <c r="A117" s="10" t="inlineStr">
        <is>
          <t>F6 — 3/4 pinçando a manga (preto)</t>
        </is>
      </c>
      <c r="B117" s="10" t="inlineStr">
        <is>
          <t>Origem: foto #6 da galeria (preto, 3/4 inclinado, mão pinçando a manga esquerda)</t>
        </is>
      </c>
      <c r="C117" s="10" t="inlineStr">
        <is>
          <t>4:5</t>
        </is>
      </c>
      <c r="D117" s="11" t="inlineStr">
        <is>
          <t>A gerar</t>
        </is>
      </c>
    </row>
    <row r="118">
      <c r="A118" s="10" t="inlineStr">
        <is>
          <t>F7 — Detalhe gola e manga (off-white)</t>
        </is>
      </c>
      <c r="B118" s="10" t="inlineStr">
        <is>
          <t>Origem: foto #7 da galeria (off-white, recorte dos lábios ao peito)</t>
        </is>
      </c>
      <c r="C118" s="10" t="inlineStr">
        <is>
          <t>4:5</t>
        </is>
      </c>
      <c r="D118" s="11" t="inlineStr">
        <is>
          <t>A gerar</t>
        </is>
      </c>
    </row>
    <row r="119">
      <c r="A119" s="10" t="inlineStr">
        <is>
          <t>F8 — Mãos juntas rosto cortado (off-white)</t>
        </is>
      </c>
      <c r="B119" s="10" t="inlineStr">
        <is>
          <t>Origem: foto #8 da galeria (off-white, rosto cortado no nariz, mãos juntas na cintura, jeans)</t>
        </is>
      </c>
      <c r="C119" s="10" t="inlineStr">
        <is>
          <t>4:5</t>
        </is>
      </c>
      <c r="D119" s="11" t="inlineStr">
        <is>
          <t>A gerar</t>
        </is>
      </c>
    </row>
    <row r="120">
      <c r="A120" s="10" t="inlineStr">
        <is>
          <t>F9 — Frontal mãos atrás (off-white)</t>
        </is>
      </c>
      <c r="B120" s="10" t="inlineStr">
        <is>
          <t>Origem: foto #9 da galeria (off-white, frontal, braços levemente para trás)</t>
        </is>
      </c>
      <c r="C120" s="10" t="inlineStr">
        <is>
          <t>4:5</t>
        </is>
      </c>
      <c r="D120" s="11" t="inlineStr">
        <is>
          <t>A gerar</t>
        </is>
      </c>
    </row>
    <row r="121">
      <c r="A121" s="10" t="inlineStr">
        <is>
          <t>F10 — Macro da textura</t>
        </is>
      </c>
      <c r="B121" s="10" t="inlineStr">
        <is>
          <t>Origem: derivado dos detalhes #3, #4 e #7 — close só do tecido</t>
        </is>
      </c>
      <c r="C121" s="10" t="inlineStr">
        <is>
          <t>4:5</t>
        </is>
      </c>
      <c r="D121" s="11" t="inlineStr">
        <is>
          <t>A gerar</t>
        </is>
      </c>
    </row>
  </sheetData>
  <mergeCells count="48">
    <mergeCell ref="B4:F4"/>
    <mergeCell ref="B7:F7"/>
    <mergeCell ref="A84:F84"/>
    <mergeCell ref="B30:E30"/>
    <mergeCell ref="B15:E15"/>
    <mergeCell ref="D97:F97"/>
    <mergeCell ref="B24:E24"/>
    <mergeCell ref="A50:F50"/>
    <mergeCell ref="B20:E20"/>
    <mergeCell ref="D91:F91"/>
    <mergeCell ref="A86:F86"/>
    <mergeCell ref="A95:C95"/>
    <mergeCell ref="B26:E26"/>
    <mergeCell ref="A85:F85"/>
    <mergeCell ref="B11:F11"/>
    <mergeCell ref="D93:F93"/>
    <mergeCell ref="B16:E16"/>
    <mergeCell ref="B25:E25"/>
    <mergeCell ref="A91:C91"/>
    <mergeCell ref="B8:F8"/>
    <mergeCell ref="D92:F92"/>
    <mergeCell ref="B22:E22"/>
    <mergeCell ref="B31:E31"/>
    <mergeCell ref="B18:E18"/>
    <mergeCell ref="B27:E27"/>
    <mergeCell ref="D98:F98"/>
    <mergeCell ref="A93:C93"/>
    <mergeCell ref="B10:F10"/>
    <mergeCell ref="D94:F94"/>
    <mergeCell ref="B21:E21"/>
    <mergeCell ref="A40:F40"/>
    <mergeCell ref="A83:F83"/>
    <mergeCell ref="A92:C92"/>
    <mergeCell ref="D100:F100"/>
    <mergeCell ref="B9:F9"/>
    <mergeCell ref="B17:E17"/>
    <mergeCell ref="B23:E23"/>
    <mergeCell ref="A82:F82"/>
    <mergeCell ref="D99:F99"/>
    <mergeCell ref="B6:F6"/>
    <mergeCell ref="A94:C94"/>
    <mergeCell ref="B5:F5"/>
    <mergeCell ref="B29:E29"/>
    <mergeCell ref="D96:F96"/>
    <mergeCell ref="B19:E19"/>
    <mergeCell ref="B28:E28"/>
    <mergeCell ref="A87:F87"/>
    <mergeCell ref="D95:F9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21"/>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P22 — Camiseta Piqué Texture 240g — micro-mesh</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HMZT-P22-REG-PIQ240</t>
        </is>
      </c>
    </row>
    <row r="5">
      <c r="A5" s="24" t="inlineStr">
        <is>
          <t>Fornecedor</t>
        </is>
      </c>
      <c r="B5" s="2" t="inlineStr">
        <is>
          <t>Lunfe Malhas — fabricação própria, Itajaí-SC</t>
        </is>
      </c>
    </row>
    <row r="6">
      <c r="A6" s="24" t="inlineStr">
        <is>
          <t>Referência</t>
        </is>
      </c>
      <c r="B6" s="2" t="inlineStr">
        <is>
          <t>7892446890252 (EAN-13)</t>
        </is>
      </c>
    </row>
    <row r="7">
      <c r="A7" s="24" t="inlineStr">
        <is>
          <t>URL</t>
        </is>
      </c>
      <c r="B7" s="2" t="inlineStr">
        <is>
          <t>lunfemalhas.com.br/camiseta-pique-texture-240g-atacado-private-label-lunfe</t>
        </is>
      </c>
    </row>
    <row r="8">
      <c r="A8" s="24" t="inlineStr">
        <is>
          <t>Categoria no site</t>
        </is>
      </c>
      <c r="B8" s="2" t="inlineStr">
        <is>
          <t>Camisetas › Malhas Texturizadas</t>
        </is>
      </c>
    </row>
    <row r="9">
      <c r="A9" s="24" t="inlineStr">
        <is>
          <t>Linha HMZT recomendada</t>
        </is>
      </c>
      <c r="B9" s="2" t="inlineStr">
        <is>
          <t>Textura (nova) — piquê "old money" e uniforme B2B bordado</t>
        </is>
      </c>
    </row>
    <row r="10">
      <c r="A10" s="24" t="inlineStr">
        <is>
          <t>Estoque</t>
        </is>
      </c>
      <c r="B10" s="2" t="inlineStr">
        <is>
          <t>✅ Pronta entrega: Branco, Azul Celeste, Verde Sage ("estoque permanente"); "a partir de R$ 53,10"; despacho em até 3 dias úteis</t>
        </is>
      </c>
    </row>
    <row r="11">
      <c r="A11" s="24" t="inlineStr">
        <is>
          <t>Descritor canônico (IA)</t>
        </is>
      </c>
      <c r="B11" s="2" t="inlineStr">
        <is>
          <t>Camiseta masculina regular fit, manga curta, malha piquê 240 g/m² (51% poliéster, 49% algodão) com micro-losangos em grade regular, textura de camisa polo, superfície fosca e seca; gola careca em faixa lisa com pesponto; barra dupla reta no quadril. Peça lisa, sem logos. Fundo cinza claro de estúdio.</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51% poliéster + 49% algodão (poliéster majoritário)</t>
        </is>
      </c>
      <c r="C15" s="29" t="n"/>
      <c r="D15" s="29" t="n"/>
      <c r="E15" s="30" t="n"/>
    </row>
    <row r="16">
      <c r="A16" s="10" t="inlineStr">
        <is>
          <t>Gramatura</t>
        </is>
      </c>
      <c r="B16" s="10" t="inlineStr">
        <is>
          <t>240 g/m² (± 5%)</t>
        </is>
      </c>
      <c r="C16" s="29" t="n"/>
      <c r="D16" s="29" t="n"/>
      <c r="E16" s="30" t="n"/>
    </row>
    <row r="17">
      <c r="A17" s="10" t="inlineStr">
        <is>
          <t>Textura</t>
        </is>
      </c>
      <c r="B17" s="10" t="inlineStr">
        <is>
          <t>Piquê micro-mesh: micro-losangos 3D em grade regular, pontos altos e baixos alternados</t>
        </is>
      </c>
      <c r="C17" s="29" t="n"/>
      <c r="D17" s="29" t="n"/>
      <c r="E17" s="30" t="n"/>
    </row>
    <row r="18">
      <c r="A18" s="10" t="inlineStr">
        <is>
          <t>Construção</t>
        </is>
      </c>
      <c r="B18" s="10" t="inlineStr">
        <is>
          <t>"Tecelagem piquê (interlock com relevo micro-mesh)" — piquê é malha de ponto carregado, não interlock nem tecelagem</t>
        </is>
      </c>
      <c r="C18" s="29" t="n"/>
      <c r="D18" s="29" t="n"/>
      <c r="E18" s="30" t="n"/>
    </row>
    <row r="19">
      <c r="A19" s="10" t="inlineStr">
        <is>
          <t>Largura do rolo</t>
        </is>
      </c>
      <c r="B19" s="10" t="inlineStr">
        <is>
          <t>1,80 m (tubular aberta)</t>
        </is>
      </c>
      <c r="C19" s="29" t="n"/>
      <c r="D19" s="29" t="n"/>
      <c r="E19" s="30" t="n"/>
    </row>
    <row r="20">
      <c r="A20" s="10" t="inlineStr">
        <is>
          <t>Rendimento</t>
        </is>
      </c>
      <c r="B20" s="10" t="inlineStr">
        <is>
          <t>3,5 a 4,0 camisetas por metro linear (M)</t>
        </is>
      </c>
      <c r="C20" s="29" t="n"/>
      <c r="D20" s="29" t="n"/>
      <c r="E20" s="30" t="n"/>
    </row>
    <row r="21">
      <c r="A21" s="10" t="inlineStr">
        <is>
          <t>Tingimento</t>
        </is>
      </c>
      <c r="B21" s="10" t="inlineStr">
        <is>
          <t>"Reativo com fixação" — corante reativo não tinge poliéster (51% da peça)</t>
        </is>
      </c>
      <c r="C21" s="29" t="n"/>
      <c r="D21" s="29" t="n"/>
      <c r="E21" s="30" t="n"/>
    </row>
    <row r="22">
      <c r="A22" s="10" t="inlineStr">
        <is>
          <t>Tratamentos</t>
        </is>
      </c>
      <c r="B22" s="10" t="inlineStr">
        <is>
          <t>Pré-encolhimento térmico; controle dimensional peça a peça</t>
        </is>
      </c>
      <c r="C22" s="29" t="n"/>
      <c r="D22" s="29" t="n"/>
      <c r="E22" s="30" t="n"/>
    </row>
    <row r="23">
      <c r="A23" s="10" t="inlineStr">
        <is>
          <t>Gola</t>
        </is>
      </c>
      <c r="B23" s="10" t="inlineStr">
        <is>
          <t>"Ribana reforçada, acabamento clean, sem canelado" (faixa lisa com pesponto nas fotos)</t>
        </is>
      </c>
      <c r="C23" s="29" t="n"/>
      <c r="D23" s="29" t="n"/>
      <c r="E23" s="30" t="n"/>
    </row>
    <row r="24">
      <c r="A24" s="10" t="inlineStr">
        <is>
          <t>Costuras</t>
        </is>
      </c>
      <c r="B24" s="10" t="inlineStr">
        <is>
          <t>Ponto cadeia em todas as emendas; reforço ombro a ombro</t>
        </is>
      </c>
      <c r="C24" s="29" t="n"/>
      <c r="D24" s="29" t="n"/>
      <c r="E24" s="30" t="n"/>
    </row>
    <row r="25">
      <c r="A25" s="10" t="inlineStr">
        <is>
          <t>Barras</t>
        </is>
      </c>
      <c r="B25" s="10" t="inlineStr">
        <is>
          <t>Dupla em mangas e barra</t>
        </is>
      </c>
      <c r="C25" s="29" t="n"/>
      <c r="D25" s="29" t="n"/>
      <c r="E25" s="30" t="n"/>
    </row>
    <row r="26">
      <c r="A26" s="10" t="inlineStr">
        <is>
          <t>Modelagem</t>
        </is>
      </c>
      <c r="B26" s="10" t="inlineStr">
        <is>
          <t>Regular fit (oversized "em estudo")</t>
        </is>
      </c>
      <c r="C26" s="29" t="n"/>
      <c r="D26" s="29" t="n"/>
      <c r="E26" s="30" t="n"/>
    </row>
    <row r="27">
      <c r="A27" s="10" t="inlineStr">
        <is>
          <t>Tamanhos</t>
        </is>
      </c>
      <c r="B27" s="10" t="inlineStr">
        <is>
          <t>P ao EG (5); grade customizada acima de 200 pç</t>
        </is>
      </c>
      <c r="C27" s="29" t="n"/>
      <c r="D27" s="29" t="n"/>
      <c r="E27" s="30" t="n"/>
    </row>
    <row r="28">
      <c r="A28" s="10" t="inlineStr">
        <is>
          <t>Bordado</t>
        </is>
      </c>
      <c r="B28" s="10" t="inlineStr">
        <is>
          <t>Até 15.000 pontos sem deformar</t>
        </is>
      </c>
      <c r="C28" s="29" t="n"/>
      <c r="D28" s="29" t="n"/>
      <c r="E28" s="30" t="n"/>
    </row>
    <row r="29">
      <c r="A29" s="10" t="inlineStr">
        <is>
          <t>Produção</t>
        </is>
      </c>
      <c r="B29" s="10" t="inlineStr">
        <is>
          <t>Fabricação própria Lunfe — Itajaí, SC (malharia, tinturaria, acabamento, corte e costura)</t>
        </is>
      </c>
      <c r="C29" s="29" t="n"/>
      <c r="D29" s="29" t="n"/>
      <c r="E29" s="30" t="n"/>
    </row>
    <row r="30">
      <c r="A30" s="10" t="inlineStr">
        <is>
          <t>Nota fiscal</t>
        </is>
      </c>
      <c r="B30" s="10" t="inlineStr">
        <is>
          <t>NF-e com CFOP de revenda</t>
        </is>
      </c>
      <c r="C30" s="29" t="n"/>
      <c r="D30" s="29" t="n"/>
      <c r="E30" s="30" t="n"/>
    </row>
    <row r="31">
      <c r="A31" s="10" t="inlineStr">
        <is>
          <t>"Engenharia usada por Zara, COS, H&amp;M Studio"</t>
        </is>
      </c>
      <c r="B31" s="10" t="inlineStr">
        <is>
          <t>Sem fonte; citar marcas é proibido</t>
        </is>
      </c>
      <c r="C31" s="29" t="n"/>
      <c r="D31" s="29" t="n"/>
      <c r="E31" s="30" t="n"/>
    </row>
    <row r="32">
      <c r="A32" s="10" t="inlineStr">
        <is>
          <t>"Anti-rugas = menos devoluções", "secagem 2–3× mais rápida"</t>
        </is>
      </c>
      <c r="B32" s="10" t="inlineStr">
        <is>
          <t>Sem teste</t>
        </is>
      </c>
      <c r="C32" s="29" t="n"/>
      <c r="D32" s="29" t="n"/>
      <c r="E32" s="30" t="n"/>
    </row>
    <row r="33">
      <c r="A33" s="10" t="inlineStr">
        <is>
          <t>Preço</t>
        </is>
      </c>
      <c r="B33" s="10" t="inlineStr">
        <is>
          <t>Tabela "sob consulta" × resumo "a partir de R$ 41,30" e página R$ 53,10</t>
        </is>
      </c>
      <c r="C33" s="29" t="n"/>
      <c r="D33" s="29" t="n"/>
      <c r="E33" s="30" t="n"/>
    </row>
    <row r="35">
      <c r="A35" s="27" t="inlineStr">
        <is>
          <t>3. Tabela de medidas (cm)</t>
        </is>
      </c>
      <c r="B35" s="28" t="n"/>
      <c r="C35" s="28" t="n"/>
      <c r="D35" s="28" t="n"/>
      <c r="E35" s="28" t="n"/>
      <c r="F35" s="28" t="n"/>
    </row>
    <row r="36">
      <c r="A36" s="9" t="inlineStr">
        <is>
          <t>Tamanho</t>
        </is>
      </c>
      <c r="B36" s="9" t="inlineStr">
        <is>
          <t>Comprimento</t>
        </is>
      </c>
      <c r="C36" s="9" t="inlineStr">
        <is>
          <t>Largura</t>
        </is>
      </c>
      <c r="D36" s="9" t="inlineStr">
        <is>
          <t>Ombros</t>
        </is>
      </c>
      <c r="E36" s="9" t="inlineStr">
        <is>
          <t>Mangas</t>
        </is>
      </c>
    </row>
    <row r="37">
      <c r="A37" s="10" t="inlineStr">
        <is>
          <t>P</t>
        </is>
      </c>
      <c r="B37" s="11" t="n">
        <v>70</v>
      </c>
      <c r="C37" s="11" t="n">
        <v>52</v>
      </c>
      <c r="D37" s="11" t="n">
        <v>44</v>
      </c>
      <c r="E37" s="11" t="n">
        <v>16</v>
      </c>
    </row>
    <row r="38">
      <c r="A38" s="10" t="inlineStr">
        <is>
          <t>M</t>
        </is>
      </c>
      <c r="B38" s="11" t="n">
        <v>72</v>
      </c>
      <c r="C38" s="11" t="n">
        <v>54</v>
      </c>
      <c r="D38" s="11" t="n">
        <v>46</v>
      </c>
      <c r="E38" s="11" t="n">
        <v>18</v>
      </c>
    </row>
    <row r="39">
      <c r="A39" s="10" t="inlineStr">
        <is>
          <t>G</t>
        </is>
      </c>
      <c r="B39" s="11" t="n">
        <v>74</v>
      </c>
      <c r="C39" s="11" t="n">
        <v>56</v>
      </c>
      <c r="D39" s="11" t="n">
        <v>48</v>
      </c>
      <c r="E39" s="11" t="n">
        <v>20</v>
      </c>
    </row>
    <row r="40">
      <c r="A40" s="10" t="inlineStr">
        <is>
          <t>GG</t>
        </is>
      </c>
      <c r="B40" s="11" t="n">
        <v>76</v>
      </c>
      <c r="C40" s="11" t="n">
        <v>58</v>
      </c>
      <c r="D40" s="11" t="n">
        <v>50</v>
      </c>
      <c r="E40" s="11" t="n">
        <v>22</v>
      </c>
    </row>
    <row r="41">
      <c r="A41" s="10" t="inlineStr">
        <is>
          <t>EG</t>
        </is>
      </c>
      <c r="B41" s="11" t="n">
        <v>78</v>
      </c>
      <c r="C41" s="11" t="n">
        <v>60</v>
      </c>
      <c r="D41" s="11" t="n">
        <v>52</v>
      </c>
      <c r="E41" s="11" t="n">
        <v>24</v>
      </c>
    </row>
    <row r="42" ht="30" customHeight="1">
      <c r="A42" s="2" t="inlineStr">
        <is>
          <t>Tabela do fornecedor em cm, em repouso, ± 2 cm — mesma base de modelagem das linhas 100% algodão. Grade customizada acima de 200 pç. Modelo: 1,84 m · 84 kg · veste M.</t>
        </is>
      </c>
    </row>
    <row r="43">
      <c r="A43" s="15" t="inlineStr">
        <is>
          <t>Modelo das fotos: 1,84 m · 84 kg · veste M</t>
        </is>
      </c>
    </row>
    <row r="45">
      <c r="A45" s="27" t="inlineStr">
        <is>
          <t>4. Cores disponíveis</t>
        </is>
      </c>
      <c r="B45" s="28" t="n"/>
      <c r="C45" s="28" t="n"/>
      <c r="D45" s="28" t="n"/>
      <c r="E45" s="28" t="n"/>
      <c r="F45" s="28" t="n"/>
    </row>
    <row r="46">
      <c r="A46" s="9" t="inlineStr">
        <is>
          <t>Cor</t>
        </is>
      </c>
      <c r="B46" s="9" t="inlineStr">
        <is>
          <t>Código HMZT</t>
        </is>
      </c>
      <c r="C46" s="9" t="inlineStr">
        <is>
          <t>Ref. fornecedor</t>
        </is>
      </c>
      <c r="D46" s="9" t="inlineStr">
        <is>
          <t>Observação</t>
        </is>
      </c>
    </row>
    <row r="47">
      <c r="A47" s="10" t="inlineStr">
        <is>
          <t>Branco</t>
        </is>
      </c>
      <c r="B47" s="10" t="inlineStr">
        <is>
          <t>BCO</t>
        </is>
      </c>
      <c r="C47" s="10" t="inlineStr">
        <is>
          <t>PIQ-BRA</t>
        </is>
      </c>
      <c r="D47" s="10" t="inlineStr">
        <is>
          <t>Fotos #4–#5; pronta entrega</t>
        </is>
      </c>
    </row>
    <row r="48">
      <c r="A48" s="10" t="inlineStr">
        <is>
          <t>Azul Celeste</t>
        </is>
      </c>
      <c r="B48" s="10" t="inlineStr">
        <is>
          <t>AZC</t>
        </is>
      </c>
      <c r="C48" s="10" t="inlineStr">
        <is>
          <t>PIQ-AZC</t>
        </is>
      </c>
      <c r="D48" s="10" t="inlineStr">
        <is>
          <t>Fotos #1–#3; nas fotos é um azul-médio vivo (cornflower), mais forte que "celeste" ⚠️</t>
        </is>
      </c>
    </row>
    <row r="49">
      <c r="A49" s="10" t="inlineStr">
        <is>
          <t>Verde Sage</t>
        </is>
      </c>
      <c r="B49" s="10" t="inlineStr">
        <is>
          <t>VSG</t>
        </is>
      </c>
      <c r="C49" s="10" t="inlineStr">
        <is>
          <t>PIQ-VSG</t>
        </is>
      </c>
      <c r="D49" s="10" t="inlineStr">
        <is>
          <t>Fotos #6–#8; verde-sálvia acinzentado</t>
        </is>
      </c>
    </row>
    <row r="50" ht="30" customHeight="1">
      <c r="A50" s="2" t="inlineStr">
        <is>
          <t>Só 3 cores em pronta entrega (bate texto × seletor × fotos). Outras cores: Pantone a partir de 100 pç/cor, 15–25 dias úteis. Não há preto nem off-white.</t>
        </is>
      </c>
    </row>
    <row r="52">
      <c r="A52" s="27" t="inlineStr">
        <is>
          <t>5. Personalização (preço sempre sob orçamento)</t>
        </is>
      </c>
      <c r="B52" s="28" t="n"/>
      <c r="C52" s="28" t="n"/>
      <c r="D52" s="28" t="n"/>
      <c r="E52" s="28" t="n"/>
      <c r="F52" s="28" t="n"/>
    </row>
    <row r="53">
      <c r="A53" s="9" t="inlineStr">
        <is>
          <t>Técnica</t>
        </is>
      </c>
      <c r="B53" s="9" t="inlineStr">
        <is>
          <t>Detalhe</t>
        </is>
      </c>
      <c r="C53" s="9" t="inlineStr">
        <is>
          <t>Mínimo</t>
        </is>
      </c>
    </row>
    <row r="54">
      <c r="A54" s="10" t="inlineStr">
        <is>
          <t>Silk screen</t>
        </is>
      </c>
      <c r="B54" s="10" t="inlineStr">
        <is>
          <t>Até 4 cores. ⚠️ Poliéster majoritário: usar tinta anti-migração/baixa cura; a textura aparece sob a tinta</t>
        </is>
      </c>
      <c r="C54" s="10" t="inlineStr">
        <is>
          <t>20 pç</t>
        </is>
      </c>
    </row>
    <row r="55">
      <c r="A55" s="10" t="inlineStr">
        <is>
          <t>DTF</t>
        </is>
      </c>
      <c r="B55" s="10" t="inlineStr">
        <is>
          <t>Full color; ⚠️ temperatura baixa (poliéster marca/brilha) e testar achatamento da textura</t>
        </is>
      </c>
      <c r="C55" s="10" t="inlineStr">
        <is>
          <t>20 pç</t>
        </is>
      </c>
    </row>
    <row r="56">
      <c r="A56" s="10" t="inlineStr">
        <is>
          <t>Bordado</t>
        </is>
      </c>
      <c r="B56" s="10" t="inlineStr">
        <is>
          <t>Até 15.000 pontos — melhor opção (logo peito, estilo polo)</t>
        </is>
      </c>
      <c r="C56" s="10" t="inlineStr">
        <is>
          <t>20 pç</t>
        </is>
      </c>
    </row>
    <row r="57">
      <c r="A57" s="10" t="inlineStr">
        <is>
          <t>Etiqueta private label</t>
        </is>
      </c>
      <c r="B57" s="10" t="inlineStr">
        <is>
          <t>Etiqueta interna + tag externa</t>
        </is>
      </c>
      <c r="C57" s="10" t="inlineStr">
        <is>
          <t>20 pç</t>
        </is>
      </c>
    </row>
    <row r="58">
      <c r="A58" s="10" t="inlineStr">
        <is>
          <t>Embalagem customizada</t>
        </is>
      </c>
      <c r="B58" s="10" t="inlineStr">
        <is>
          <t>Saco com logo, caixa personalizada, tag</t>
        </is>
      </c>
      <c r="C58" s="10" t="inlineStr">
        <is>
          <t>50 pç</t>
        </is>
      </c>
    </row>
    <row r="59">
      <c r="A59" s="10" t="inlineStr">
        <is>
          <t>Cor Pantone</t>
        </is>
      </c>
      <c r="B59" s="10" t="inlineStr">
        <is>
          <t>Tingimento exclusivo, 15–25 dias úteis</t>
        </is>
      </c>
      <c r="C59" s="10" t="inlineStr">
        <is>
          <t>100 pç/cor</t>
        </is>
      </c>
    </row>
    <row r="61">
      <c r="A61" s="27" t="inlineStr">
        <is>
          <t>6. Preços do fornecedor (desconto progressivo)</t>
        </is>
      </c>
      <c r="B61" s="28" t="n"/>
      <c r="C61" s="28" t="n"/>
      <c r="D61" s="28" t="n"/>
      <c r="E61" s="28" t="n"/>
      <c r="F61" s="28" t="n"/>
    </row>
    <row r="62">
      <c r="A62" s="24" t="inlineStr">
        <is>
          <t>Preço base (R$)</t>
        </is>
      </c>
      <c r="B62" s="31" t="n">
        <v>59</v>
      </c>
    </row>
    <row r="63">
      <c r="A63" s="17" t="inlineStr">
        <is>
          <t>Faixa</t>
        </is>
      </c>
      <c r="B63" s="17" t="inlineStr">
        <is>
          <t>Peças</t>
        </is>
      </c>
      <c r="C63" s="17" t="inlineStr">
        <is>
          <t>Desconto</t>
        </is>
      </c>
      <c r="D63" s="17" t="inlineStr">
        <is>
          <t>Preço unitário</t>
        </is>
      </c>
      <c r="E63" s="17" t="inlineStr">
        <is>
          <t>Preço + Pix</t>
        </is>
      </c>
    </row>
    <row r="64">
      <c r="A64" s="18" t="inlineStr">
        <is>
          <t>Faixa 1</t>
        </is>
      </c>
      <c r="B64" s="18" t="inlineStr">
        <is>
          <t>20–40</t>
        </is>
      </c>
      <c r="C64" s="32">
        <f>'Regras Fornecedor'!$D$4</f>
        <v/>
      </c>
      <c r="D64" s="33">
        <f>ROUND($B$62*(1-C64),2)</f>
        <v/>
      </c>
      <c r="E64" s="34">
        <f>ROUND(D64*(1-'Regras Fornecedor'!$B$10),2)</f>
        <v/>
      </c>
    </row>
    <row r="65">
      <c r="A65" s="18" t="inlineStr">
        <is>
          <t>Faixa 2</t>
        </is>
      </c>
      <c r="B65" s="18" t="inlineStr">
        <is>
          <t>40–80</t>
        </is>
      </c>
      <c r="C65" s="32">
        <f>'Regras Fornecedor'!$D$5</f>
        <v/>
      </c>
      <c r="D65" s="33">
        <f>ROUND($B$62*(1-C65),2)</f>
        <v/>
      </c>
      <c r="E65" s="34">
        <f>ROUND(D65*(1-'Regras Fornecedor'!$B$10),2)</f>
        <v/>
      </c>
    </row>
    <row r="66">
      <c r="A66" s="18" t="inlineStr">
        <is>
          <t>Faixa 3</t>
        </is>
      </c>
      <c r="B66" s="18" t="inlineStr">
        <is>
          <t>80–100</t>
        </is>
      </c>
      <c r="C66" s="32">
        <f>'Regras Fornecedor'!$D$6</f>
        <v/>
      </c>
      <c r="D66" s="33">
        <f>ROUND($B$62*(1-C66),2)</f>
        <v/>
      </c>
      <c r="E66" s="34">
        <f>ROUND(D66*(1-'Regras Fornecedor'!$B$10),2)</f>
        <v/>
      </c>
    </row>
    <row r="67">
      <c r="A67" s="18" t="inlineStr">
        <is>
          <t>Faixa 4</t>
        </is>
      </c>
      <c r="B67" s="18" t="inlineStr">
        <is>
          <t>100–300</t>
        </is>
      </c>
      <c r="C67" s="32">
        <f>'Regras Fornecedor'!$D$7</f>
        <v/>
      </c>
      <c r="D67" s="33">
        <f>ROUND($B$62*(1-C67),2)</f>
        <v/>
      </c>
      <c r="E67" s="34">
        <f>ROUND(D67*(1-'Regras Fornecedor'!$B$10),2)</f>
        <v/>
      </c>
    </row>
    <row r="68">
      <c r="A68" s="18" t="inlineStr">
        <is>
          <t>Faixa 5</t>
        </is>
      </c>
      <c r="B68" s="18" t="inlineStr">
        <is>
          <t>300–999</t>
        </is>
      </c>
      <c r="C68" s="32">
        <f>'Regras Fornecedor'!$D$8</f>
        <v/>
      </c>
      <c r="D68" s="33">
        <f>ROUND($B$62*(1-C68),2)</f>
        <v/>
      </c>
      <c r="E68" s="34">
        <f>ROUND(D68*(1-'Regras Fornecedor'!$B$10),2)</f>
        <v/>
      </c>
    </row>
    <row r="70">
      <c r="A70" s="27" t="inlineStr">
        <is>
          <t>7. Custo HMZT e margem (lote de 20 peças, Pix)</t>
        </is>
      </c>
      <c r="B70" s="28" t="n"/>
      <c r="C70" s="28" t="n"/>
      <c r="D70" s="28" t="n"/>
      <c r="E70" s="28" t="n"/>
      <c r="F70" s="28" t="n"/>
    </row>
    <row r="71">
      <c r="A71" s="24" t="inlineStr">
        <is>
          <t>Peça (20 pç, Pix)</t>
        </is>
      </c>
      <c r="B71" s="35">
        <f>E64</f>
        <v/>
      </c>
    </row>
    <row r="72">
      <c r="A72" s="24" t="inlineStr">
        <is>
          <t>Personalização + etiqueta + tag (R$/pç)</t>
        </is>
      </c>
      <c r="B72" s="36" t="n">
        <v>10</v>
      </c>
      <c r="C72" s="15" t="inlineStr">
        <is>
          <t>Estimativa HMZT — trocar pelo orçamento real</t>
        </is>
      </c>
    </row>
    <row r="73">
      <c r="A73" s="24" t="inlineStr">
        <is>
          <t>Frete rateado + embalagem (R$/pç)</t>
        </is>
      </c>
      <c r="B73" s="36" t="n">
        <v>4</v>
      </c>
      <c r="C73" s="15" t="inlineStr">
        <is>
          <t>Estimativa HMZT — trocar pelo orçamento real</t>
        </is>
      </c>
    </row>
    <row r="74">
      <c r="A74" s="24" t="inlineStr">
        <is>
          <t>Custo unitário estimado</t>
        </is>
      </c>
      <c r="B74" s="37">
        <f>SUM(B71:B73)</f>
        <v/>
      </c>
    </row>
    <row r="75">
      <c r="A75" s="24" t="inlineStr">
        <is>
          <t>Preço de venda HMZT (R$)</t>
        </is>
      </c>
      <c r="B75" s="36" t="n">
        <v>139</v>
      </c>
      <c r="C75" s="15" t="inlineStr">
        <is>
          <t>Sugestão do dossiê — ajustar</t>
        </is>
      </c>
    </row>
    <row r="76">
      <c r="A76" s="24" t="inlineStr">
        <is>
          <t>Impostos + gateway (% do preço)</t>
        </is>
      </c>
      <c r="B76" s="38" t="n">
        <v>0</v>
      </c>
      <c r="C76" s="15" t="inlineStr">
        <is>
          <t>A preencher (Simples + taxa Asaas)</t>
        </is>
      </c>
    </row>
    <row r="77">
      <c r="A77" s="24" t="inlineStr">
        <is>
          <t>Margem bruta (R$)</t>
        </is>
      </c>
      <c r="B77" s="35">
        <f>B75-B74</f>
        <v/>
      </c>
    </row>
    <row r="78">
      <c r="A78" s="24" t="inlineStr">
        <is>
          <t>Margem bruta (%)</t>
        </is>
      </c>
      <c r="B78" s="39">
        <f>IF(B75=0,0,(B75-B74)/B75)</f>
        <v/>
      </c>
    </row>
    <row r="79">
      <c r="A79" s="24" t="inlineStr">
        <is>
          <t>Margem após impostos/gateway (%)</t>
        </is>
      </c>
      <c r="B79" s="39">
        <f>IF(B75=0,0,(B75*(1-B76)-B74)/B75)</f>
        <v/>
      </c>
      <c r="C79" s="15" t="inlineStr">
        <is>
          <t>Ainda sem frete ao cliente e mídia</t>
        </is>
      </c>
    </row>
    <row r="81">
      <c r="A81" s="27" t="inlineStr">
        <is>
          <t>8. Contradições e erros ⚠️</t>
        </is>
      </c>
      <c r="B81" s="28" t="n"/>
      <c r="C81" s="28" t="n"/>
      <c r="D81" s="28" t="n"/>
      <c r="E81" s="28" t="n"/>
      <c r="F81" s="28" t="n"/>
    </row>
    <row r="82">
      <c r="A82" s="8" t="inlineStr">
        <is>
          <t>⚠️ Composição: 51% poliéster / 49% algodão — confirma o texto do P05; o texto do P04 (52% algodão / 48% poliéster) vale para Rib Wide, Plissé, Ripple e Waffle, não para a Piqué. São duas composições na mesma "linha texturizada".</t>
        </is>
      </c>
    </row>
    <row r="83">
      <c r="A83" s="8" t="inlineStr">
        <is>
          <t>⚠️ Preço: a tabela diz "sob consulta" em todas as faixas, mas o resumo diz "a partir de R$ 41,30" e a página mostra "a partir de R$ 53,10" — equivale à base R$ 59,00 das outras texturas (inferido; confirmar).</t>
        </is>
      </c>
    </row>
    <row r="84">
      <c r="A84" s="8" t="inlineStr">
        <is>
          <t>⚠️ "Tingimento reativo": corante reativo só tinge a parte de algodão; poliéster exige corante disperso (tingimento em dois banhos). Pedir o processo real — risco de cor desigual ou mescla não intencional.</t>
        </is>
      </c>
    </row>
    <row r="85">
      <c r="A85" s="8" t="inlineStr">
        <is>
          <t>⚠️ "Interlock com relevo" / "tecelagem": piquê é malha de ponto carregado; não é interlock nem tecido plano.</t>
        </is>
      </c>
    </row>
    <row r="86">
      <c r="A86" s="8" t="inlineStr">
        <is>
          <t>⚠️ "Ribana... sem canelado": ribana é, por definição, canelada; nas fotos a gola é uma faixa lisa com pesponto.</t>
        </is>
      </c>
    </row>
    <row r="87">
      <c r="A87" s="8" t="inlineStr">
        <is>
          <t>⚠️ Prazo: aqui "despacho em até 3 dias úteis"; nas outras texturas, 24 h úteis.</t>
        </is>
      </c>
    </row>
    <row r="88">
      <c r="A88" s="8" t="inlineStr">
        <is>
          <t>⚠️ Comparativo diz "Chinese Cotton 180g"; a ficha P06 é 160 g.</t>
        </is>
      </c>
    </row>
    <row r="89">
      <c r="A89" s="8" t="inlineStr">
        <is>
          <t>⚠️ A página da Rib Wide descreve a Piqué como "micro-mesh (furinhos)" e cita uma Ottoman Texture 240g não catalogada.</t>
        </is>
      </c>
    </row>
    <row r="90">
      <c r="A90" s="8" t="inlineStr">
        <is>
          <t>⚠️ Cor "Azul Celeste" nas fotos é um azul-médio vivo, não celeste.</t>
        </is>
      </c>
    </row>
    <row r="92">
      <c r="A92" s="27" t="inlineStr">
        <is>
          <t>9. Comunicação HMZT</t>
        </is>
      </c>
      <c r="B92" s="28" t="n"/>
      <c r="C92" s="28" t="n"/>
      <c r="D92" s="28" t="n"/>
      <c r="E92" s="28" t="n"/>
      <c r="F92" s="28" t="n"/>
    </row>
    <row r="93">
      <c r="A93" s="24" t="inlineStr">
        <is>
          <t>✅ Pode usar</t>
        </is>
      </c>
      <c r="D93" s="24" t="inlineStr">
        <is>
          <t>📣 / ⛔ Não usar</t>
        </is>
      </c>
    </row>
    <row r="94">
      <c r="A94" s="40" t="inlineStr">
        <is>
          <t>"Malha piquê 240 g/m², textura de polo em formato de camiseta."</t>
        </is>
      </c>
      <c r="D94" s="8" t="inlineStr">
        <is>
          <t>"A mesma engenharia de Zara, COS, H&amp;M Studio" — nunca citar marcas de terceiros</t>
        </is>
      </c>
    </row>
    <row r="95">
      <c r="A95" s="40" t="inlineStr">
        <is>
          <t>"51% poliéster, 49% algodão" — sempre por extenso, poliéster primeiro.</t>
        </is>
      </c>
      <c r="D95" s="8" t="inlineStr">
        <is>
          <t>"Marcas com textura registraram ticket 40–60% maior", "os dados são claros"</t>
        </is>
      </c>
    </row>
    <row r="96">
      <c r="A96" s="40" t="inlineStr">
        <is>
          <t>"Amassa pouco e seca rápido" (propriedade geral do poliéster; sem número).</t>
        </is>
      </c>
      <c r="D96" s="8" t="inlineStr">
        <is>
          <t>"Uma das poucas fábricas nacionais", "produto de catálogo internacional"</t>
        </is>
      </c>
    </row>
    <row r="97">
      <c r="A97" s="40" t="inlineStr">
        <is>
          <t>"Aceita bordado de logo, no estilo polo."</t>
        </is>
      </c>
      <c r="D97" s="8" t="inlineStr">
        <is>
          <t>"Anti-rugas = menos devoluções", "cliente que volta"</t>
        </is>
      </c>
    </row>
    <row r="98">
      <c r="A98" s="40" t="inlineStr">
        <is>
          <t>"Fabricada em Santa Catarina, com malharia própria."</t>
        </is>
      </c>
      <c r="D98" s="8" t="inlineStr">
        <is>
          <t>"95% das marcas vendem lisa"</t>
        </is>
      </c>
    </row>
    <row r="99">
      <c r="D99" s="8" t="inlineStr">
        <is>
          <t>"Secagem 2–3× mais rápida" (sem laudo)</t>
        </is>
      </c>
    </row>
    <row r="100">
      <c r="D100" s="8" t="inlineStr">
        <is>
          <t>"Algodão" como argumento principal — a peça é majoritariamente poliéster</t>
        </is>
      </c>
    </row>
    <row r="102">
      <c r="A102" s="27" t="inlineStr">
        <is>
          <t>10. Pendências com o fornecedor</t>
        </is>
      </c>
      <c r="B102" s="28" t="n"/>
      <c r="C102" s="28" t="n"/>
      <c r="D102" s="28" t="n"/>
      <c r="E102" s="28" t="n"/>
      <c r="F102" s="28" t="n"/>
    </row>
    <row r="103">
      <c r="A103" s="9" t="inlineStr">
        <is>
          <t>Pendência</t>
        </is>
      </c>
      <c r="B103" s="9" t="inlineStr">
        <is>
          <t>Status</t>
        </is>
      </c>
      <c r="C103" s="9" t="inlineStr">
        <is>
          <t>Responsável</t>
        </is>
      </c>
      <c r="D103" s="9" t="inlineStr">
        <is>
          <t>Resposta</t>
        </is>
      </c>
    </row>
    <row r="104">
      <c r="A104" s="10" t="inlineStr">
        <is>
          <t>Preço base oficial (tabela "sob consulta")</t>
        </is>
      </c>
      <c r="B104" s="11" t="inlineStr">
        <is>
          <t>Aberta</t>
        </is>
      </c>
      <c r="C104" s="11" t="inlineStr"/>
      <c r="D104" s="11" t="inlineStr"/>
    </row>
    <row r="105">
      <c r="A105" s="10" t="inlineStr">
        <is>
          <t>Processo de tingimento (reativo + disperso?) e solidez de cor</t>
        </is>
      </c>
      <c r="B105" s="11" t="inlineStr">
        <is>
          <t>Aberta</t>
        </is>
      </c>
      <c r="C105" s="11" t="inlineStr"/>
      <c r="D105" s="11" t="inlineStr"/>
    </row>
    <row r="106">
      <c r="A106" s="10" t="inlineStr">
        <is>
          <t>Cor real do "Azul Celeste"; existe preto, marinho ou off-white em pronta entrega?</t>
        </is>
      </c>
      <c r="B106" s="11" t="inlineStr">
        <is>
          <t>Aberta</t>
        </is>
      </c>
      <c r="C106" s="11" t="inlineStr"/>
      <c r="D106" s="11" t="inlineStr"/>
    </row>
    <row r="107">
      <c r="A107" s="10" t="inlineStr">
        <is>
          <t>Prazo real: 24 h ou 3 dias úteis</t>
        </is>
      </c>
      <c r="B107" s="11" t="inlineStr">
        <is>
          <t>Aberta</t>
        </is>
      </c>
      <c r="C107" s="11" t="inlineStr"/>
      <c r="D107" s="11" t="inlineStr"/>
    </row>
    <row r="108">
      <c r="A108" s="10" t="inlineStr">
        <is>
          <t>Orçamento: bordado peito até 15.000 pontos, etiqueta, tag</t>
        </is>
      </c>
      <c r="B108" s="11" t="inlineStr">
        <is>
          <t>Aberta</t>
        </is>
      </c>
      <c r="C108" s="11" t="inlineStr"/>
      <c r="D108" s="11" t="inlineStr"/>
    </row>
    <row r="109">
      <c r="A109" s="10" t="inlineStr">
        <is>
          <t>Previsão da versão oversized</t>
        </is>
      </c>
      <c r="B109" s="11" t="inlineStr">
        <is>
          <t>Aberta</t>
        </is>
      </c>
      <c r="C109" s="11" t="inlineStr"/>
      <c r="D109" s="11" t="inlineStr"/>
    </row>
    <row r="111">
      <c r="A111" s="27" t="inlineStr">
        <is>
          <t>11. Fluxo de prompts de lookbook (docs/shop-confeccao/prompts/P22-prompts.md)</t>
        </is>
      </c>
      <c r="B111" s="28" t="n"/>
      <c r="C111" s="28" t="n"/>
      <c r="D111" s="28" t="n"/>
      <c r="E111" s="28" t="n"/>
      <c r="F111" s="28" t="n"/>
    </row>
    <row r="112">
      <c r="A112" s="9" t="inlineStr">
        <is>
          <t>Foto</t>
        </is>
      </c>
      <c r="B112" s="9" t="inlineStr">
        <is>
          <t>Origem no print</t>
        </is>
      </c>
      <c r="C112" s="9" t="inlineStr">
        <is>
          <t>Formato</t>
        </is>
      </c>
      <c r="D112" s="9" t="inlineStr">
        <is>
          <t>Status</t>
        </is>
      </c>
    </row>
    <row r="113">
      <c r="A113" s="10" t="inlineStr">
        <is>
          <t>F1 — Frontal braços soltos (azul)</t>
        </is>
      </c>
      <c r="B113" s="10" t="inlineStr">
        <is>
          <t>Origem: foto #1 da galeria (azul, frontal, olhar para a câmera, jeans claro)</t>
        </is>
      </c>
      <c r="C113" s="10" t="inlineStr">
        <is>
          <t>4:5</t>
        </is>
      </c>
      <c r="D113" s="11" t="inlineStr">
        <is>
          <t>A gerar</t>
        </is>
      </c>
    </row>
    <row r="114">
      <c r="A114" s="10" t="inlineStr">
        <is>
          <t>F2 — Detalhe gola com pesponto (azul)</t>
        </is>
      </c>
      <c r="B114" s="10" t="inlineStr">
        <is>
          <t>Origem: foto #2 da galeria (azul, recorte dos lábios ao peito, gola lisa com pesponto)</t>
        </is>
      </c>
      <c r="C114" s="10" t="inlineStr">
        <is>
          <t>4:5</t>
        </is>
      </c>
      <c r="D114" s="11" t="inlineStr">
        <is>
          <t>A gerar</t>
        </is>
      </c>
    </row>
    <row r="115">
      <c r="A115" s="10" t="inlineStr">
        <is>
          <t>F3 — Olhar baixo pinçando a manga (azul)</t>
        </is>
      </c>
      <c r="B115" s="10" t="inlineStr">
        <is>
          <t>Origem: foto #3 da galeria (azul, cabeça baixa, mão pinçando a manga esquerda)</t>
        </is>
      </c>
      <c r="C115" s="10" t="inlineStr">
        <is>
          <t>4:5</t>
        </is>
      </c>
      <c r="D115" s="11" t="inlineStr">
        <is>
          <t>A gerar</t>
        </is>
      </c>
    </row>
    <row r="116">
      <c r="A116" s="10" t="inlineStr">
        <is>
          <t>F4 — Frontal mão no bolso (branco)</t>
        </is>
      </c>
      <c r="B116" s="10" t="inlineStr">
        <is>
          <t>Origem: foto #4 da galeria (branco, leve 3/4, mão esquerda no bolso) — cor original 'bright white'</t>
        </is>
      </c>
      <c r="C116" s="10" t="inlineStr">
        <is>
          <t>4:5</t>
        </is>
      </c>
      <c r="D116" s="11" t="inlineStr">
        <is>
          <t>A gerar</t>
        </is>
      </c>
    </row>
    <row r="117">
      <c r="A117" s="10" t="inlineStr">
        <is>
          <t>F5 — Detalhe mão pinçando a manga (branco)</t>
        </is>
      </c>
      <c r="B117" s="10" t="inlineStr">
        <is>
          <t>Origem: foto #5 da galeria (branco, recorte dos lábios ao peito, mão pinçando a barra da manga, anel de sinete)</t>
        </is>
      </c>
      <c r="C117" s="10" t="inlineStr">
        <is>
          <t>4:5</t>
        </is>
      </c>
      <c r="D117" s="11" t="inlineStr">
        <is>
          <t>A gerar</t>
        </is>
      </c>
    </row>
    <row r="118">
      <c r="A118" s="10" t="inlineStr">
        <is>
          <t>F6 — Frontal mãos juntas (verde)</t>
        </is>
      </c>
      <c r="B118" s="10" t="inlineStr">
        <is>
          <t>Origem: foto #6 da galeria (verde sage, frontal, mãos juntas na cintura) — cor original 'muted sage green'</t>
        </is>
      </c>
      <c r="C118" s="10" t="inlineStr">
        <is>
          <t>4:5</t>
        </is>
      </c>
      <c r="D118" s="11" t="inlineStr">
        <is>
          <t>A gerar</t>
        </is>
      </c>
    </row>
    <row r="119">
      <c r="A119" s="10" t="inlineStr">
        <is>
          <t>F7 — Detalhe gola e manga (verde)</t>
        </is>
      </c>
      <c r="B119" s="10" t="inlineStr">
        <is>
          <t>Origem: foto #7 da galeria (verde, recorte dos lábios ao peito)</t>
        </is>
      </c>
      <c r="C119" s="10" t="inlineStr">
        <is>
          <t>4:5</t>
        </is>
      </c>
      <c r="D119" s="11" t="inlineStr">
        <is>
          <t>A gerar</t>
        </is>
      </c>
    </row>
    <row r="120">
      <c r="A120" s="10" t="inlineStr">
        <is>
          <t>F8 — Mão no pescoço (verde)</t>
        </is>
      </c>
      <c r="B120" s="10" t="inlineStr">
        <is>
          <t>Origem: foto #8 da galeria (verde, mão direita erguida tocando o pescoço, cotovelo para fora)</t>
        </is>
      </c>
      <c r="C120" s="10" t="inlineStr">
        <is>
          <t>4:5</t>
        </is>
      </c>
      <c r="D120" s="11" t="inlineStr">
        <is>
          <t>A gerar</t>
        </is>
      </c>
    </row>
    <row r="121">
      <c r="A121" s="10" t="inlineStr">
        <is>
          <t>F9 — Macro da textura</t>
        </is>
      </c>
      <c r="B121" s="10" t="inlineStr">
        <is>
          <t>Origem: derivado dos detalhes #2, #5 e #7 — close só do tecido</t>
        </is>
      </c>
      <c r="C121" s="10" t="inlineStr">
        <is>
          <t>4:5</t>
        </is>
      </c>
      <c r="D121" s="11" t="inlineStr">
        <is>
          <t>A gerar</t>
        </is>
      </c>
    </row>
  </sheetData>
  <mergeCells count="50">
    <mergeCell ref="B4:F4"/>
    <mergeCell ref="B7:F7"/>
    <mergeCell ref="A84:F84"/>
    <mergeCell ref="A90:F90"/>
    <mergeCell ref="B30:E30"/>
    <mergeCell ref="A89:F89"/>
    <mergeCell ref="B15:E15"/>
    <mergeCell ref="B33:E33"/>
    <mergeCell ref="D97:F97"/>
    <mergeCell ref="B24:E24"/>
    <mergeCell ref="A50:F50"/>
    <mergeCell ref="B20:E20"/>
    <mergeCell ref="A86:F86"/>
    <mergeCell ref="A95:C95"/>
    <mergeCell ref="B32:E32"/>
    <mergeCell ref="B26:E26"/>
    <mergeCell ref="A85:F85"/>
    <mergeCell ref="A42:F42"/>
    <mergeCell ref="B11:F11"/>
    <mergeCell ref="B16:E16"/>
    <mergeCell ref="A97:C97"/>
    <mergeCell ref="B25:E25"/>
    <mergeCell ref="B8:F8"/>
    <mergeCell ref="A96:C96"/>
    <mergeCell ref="B22:E22"/>
    <mergeCell ref="B31:E31"/>
    <mergeCell ref="B18:E18"/>
    <mergeCell ref="B27:E27"/>
    <mergeCell ref="D98:F98"/>
    <mergeCell ref="D94:F94"/>
    <mergeCell ref="B10:F10"/>
    <mergeCell ref="B21:E21"/>
    <mergeCell ref="A83:F83"/>
    <mergeCell ref="D100:F100"/>
    <mergeCell ref="B9:F9"/>
    <mergeCell ref="B17:E17"/>
    <mergeCell ref="B23:E23"/>
    <mergeCell ref="A82:F82"/>
    <mergeCell ref="A98:C98"/>
    <mergeCell ref="B6:F6"/>
    <mergeCell ref="D99:F99"/>
    <mergeCell ref="A94:C94"/>
    <mergeCell ref="B5:F5"/>
    <mergeCell ref="B29:E29"/>
    <mergeCell ref="A88:F88"/>
    <mergeCell ref="D96:F96"/>
    <mergeCell ref="B19:E19"/>
    <mergeCell ref="B28:E28"/>
    <mergeCell ref="A87:F87"/>
    <mergeCell ref="D95:F95"/>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16"/>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P23 — Regata Masculina Canelada 2/1 Slim Fit (American Style)</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HMZT-P23-SLM-CAN21</t>
        </is>
      </c>
    </row>
    <row r="5">
      <c r="A5" s="24" t="inlineStr">
        <is>
          <t>Fornecedor</t>
        </is>
      </c>
      <c r="B5" s="2" t="inlineStr">
        <is>
          <t>Lunfe Malhas — fabricação própria, Itajaí-SC</t>
        </is>
      </c>
    </row>
    <row r="6">
      <c r="A6" s="24" t="inlineStr">
        <is>
          <t>Referência</t>
        </is>
      </c>
      <c r="B6" s="2" t="inlineStr">
        <is>
          <t>7891024178355 (EAN-13)</t>
        </is>
      </c>
    </row>
    <row r="7">
      <c r="A7" s="24" t="inlineStr">
        <is>
          <t>URL</t>
        </is>
      </c>
      <c r="B7" s="2" t="inlineStr">
        <is>
          <t>lunfemalhas.com.br/regata-masculina-canelada-atacado-slim-fit-lunfe</t>
        </is>
      </c>
    </row>
    <row r="8">
      <c r="A8" s="24" t="inlineStr">
        <is>
          <t>Categoria no site</t>
        </is>
      </c>
      <c r="B8" s="2" t="inlineStr">
        <is>
          <t>Camisetas › Masculino › Regatas</t>
        </is>
      </c>
    </row>
    <row r="9">
      <c r="A9" s="24" t="inlineStr">
        <is>
          <t>Linha HMZT recomendada</t>
        </is>
      </c>
      <c r="B9" s="2" t="inlineStr">
        <is>
          <t>Regatas / Verão — Essencial (entrada, kit e cross-sell)</t>
        </is>
      </c>
    </row>
    <row r="10">
      <c r="A10" s="24" t="inlineStr">
        <is>
          <t>Estoque</t>
        </is>
      </c>
      <c r="B10" s="8" t="inlineStr">
        <is>
          <t>🔴 'Esse acabou' na página (sem seletor de cor); resumo promete envio em 24h ⚠️</t>
        </is>
      </c>
    </row>
    <row r="11">
      <c r="A11" s="24" t="inlineStr">
        <is>
          <t>Descritor canônico (IA)</t>
        </is>
      </c>
      <c r="B11" s="2" t="inlineStr">
        <is>
          <t>Regata masculina slim fit estilo americano em malha canelada 2/1 de algodão, nervuras verticais finas, gola careca alta com viés de ribana, cavas moderadas com viés, alças de 6–7 cm, barra reta no quadril. Justa ao corpo, fosca. Peça lisa.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Tipo</t>
        </is>
      </c>
      <c r="B15" s="10" t="inlineStr">
        <is>
          <t>Regata masculina (sem manga)</t>
        </is>
      </c>
      <c r="C15" s="29" t="n"/>
      <c r="D15" s="29" t="n"/>
      <c r="E15" s="30" t="n"/>
    </row>
    <row r="16">
      <c r="A16" s="10" t="inlineStr">
        <is>
          <t>Malha</t>
        </is>
      </c>
      <c r="B16" s="10" t="inlineStr">
        <is>
          <t>Canelada rib knit 2/1, 'alta densidade de fios'</t>
        </is>
      </c>
      <c r="C16" s="29" t="n"/>
      <c r="D16" s="29" t="n"/>
      <c r="E16" s="30" t="n"/>
    </row>
    <row r="17">
      <c r="A17" s="10" t="inlineStr">
        <is>
          <t>Composição</t>
        </is>
      </c>
      <c r="B17" s="10" t="inlineStr">
        <is>
          <t>100% algodão (sem elastano — elasticidade é mecânica, da nervura)</t>
        </is>
      </c>
      <c r="C17" s="29" t="n"/>
      <c r="D17" s="29" t="n"/>
      <c r="E17" s="30" t="n"/>
    </row>
    <row r="18">
      <c r="A18" s="10" t="inlineStr">
        <is>
          <t>Gramatura</t>
        </is>
      </c>
      <c r="B18" s="10" t="inlineStr">
        <is>
          <t>Não informada</t>
        </is>
      </c>
      <c r="C18" s="29" t="n"/>
      <c r="D18" s="29" t="n"/>
      <c r="E18" s="30" t="n"/>
    </row>
    <row r="19">
      <c r="A19" s="10" t="inlineStr">
        <is>
          <t>Modelagem</t>
        </is>
      </c>
      <c r="B19" s="10" t="inlineStr">
        <is>
          <t>Slim fit / American style (ajustada)</t>
        </is>
      </c>
      <c r="C19" s="29" t="n"/>
      <c r="D19" s="29" t="n"/>
      <c r="E19" s="30" t="n"/>
    </row>
    <row r="20">
      <c r="A20" s="10" t="inlineStr">
        <is>
          <t>Gola</t>
        </is>
      </c>
      <c r="B20" s="10" t="inlineStr">
        <is>
          <t>Careca alta, acabamento reforçado (viés de ribana fina nas fotos)</t>
        </is>
      </c>
      <c r="C20" s="29" t="n"/>
      <c r="D20" s="29" t="n"/>
      <c r="E20" s="30" t="n"/>
    </row>
    <row r="21">
      <c r="A21" s="10" t="inlineStr">
        <is>
          <t>Cavas</t>
        </is>
      </c>
      <c r="B21" s="10" t="inlineStr">
        <is>
          <t>Acabamento limpo com viés de ribana; cava moderada (não 'cavadona')</t>
        </is>
      </c>
      <c r="C21" s="29" t="n"/>
      <c r="D21" s="29" t="n"/>
      <c r="E21" s="30" t="n"/>
    </row>
    <row r="22">
      <c r="A22" s="10" t="inlineStr">
        <is>
          <t>Reforços</t>
        </is>
      </c>
      <c r="B22" s="10" t="inlineStr">
        <is>
          <t>Travetes nos pontos de tensão</t>
        </is>
      </c>
      <c r="C22" s="29" t="n"/>
      <c r="D22" s="29" t="n"/>
      <c r="E22" s="30" t="n"/>
    </row>
    <row r="23">
      <c r="A23" s="10" t="inlineStr">
        <is>
          <t>Tratamentos</t>
        </is>
      </c>
      <c r="B23" s="10" t="inlineStr">
        <is>
          <t>Amaciamento industrial; estabilização de encolhimento</t>
        </is>
      </c>
      <c r="C23" s="29" t="n"/>
      <c r="D23" s="29" t="n"/>
      <c r="E23" s="30" t="n"/>
    </row>
    <row r="24">
      <c r="A24" s="10" t="inlineStr">
        <is>
          <t>Opacidade</t>
        </is>
      </c>
      <c r="B24" s="10" t="inlineStr">
        <is>
          <t>Não transparece 'em condições normais de uso' (inclusive branco)</t>
        </is>
      </c>
      <c r="C24" s="29" t="n"/>
      <c r="D24" s="29" t="n"/>
      <c r="E24" s="30" t="n"/>
    </row>
    <row r="25">
      <c r="A25" s="10" t="inlineStr">
        <is>
          <t>Tingimento</t>
        </is>
      </c>
      <c r="B25" s="10" t="inlineStr">
        <is>
          <t>'Alta fixação — vermelho que não desbota'</t>
        </is>
      </c>
      <c r="C25" s="29" t="n"/>
      <c r="D25" s="29" t="n"/>
      <c r="E25" s="30" t="n"/>
    </row>
    <row r="26">
      <c r="A26" s="10" t="inlineStr">
        <is>
          <t>Tamanhos</t>
        </is>
      </c>
      <c r="B26" s="10" t="inlineStr">
        <is>
          <t>P ao EG (5)</t>
        </is>
      </c>
      <c r="C26" s="29" t="n"/>
      <c r="D26" s="29" t="n"/>
      <c r="E26" s="30" t="n"/>
    </row>
    <row r="27">
      <c r="A27" s="10" t="inlineStr">
        <is>
          <t>Produção</t>
        </is>
      </c>
      <c r="B27" s="10" t="inlineStr">
        <is>
          <t>Fabricação própria — Itajaí-SC</t>
        </is>
      </c>
      <c r="C27" s="29" t="n"/>
      <c r="D27" s="29" t="n"/>
      <c r="E27" s="30" t="n"/>
    </row>
    <row r="28">
      <c r="A28" s="10" t="inlineStr">
        <is>
          <t>Modelo das fotos</t>
        </is>
      </c>
      <c r="B28" s="10" t="inlineStr">
        <is>
          <t>1,84 m · 84 kg · veste M</t>
        </is>
      </c>
      <c r="C28" s="29" t="n"/>
      <c r="D28" s="29" t="n"/>
      <c r="E28" s="30" t="n"/>
    </row>
    <row r="30">
      <c r="A30" s="27" t="inlineStr">
        <is>
          <t>3. Tabela de medidas (cm)</t>
        </is>
      </c>
      <c r="B30" s="28" t="n"/>
      <c r="C30" s="28" t="n"/>
      <c r="D30" s="28" t="n"/>
      <c r="E30" s="28" t="n"/>
      <c r="F30" s="28" t="n"/>
    </row>
    <row r="31">
      <c r="A31" s="9" t="inlineStr">
        <is>
          <t>Tamanho</t>
        </is>
      </c>
      <c r="B31" s="9" t="inlineStr">
        <is>
          <t>Comprimento</t>
        </is>
      </c>
      <c r="C31" s="9" t="inlineStr">
        <is>
          <t>Largura</t>
        </is>
      </c>
      <c r="D31" s="9" t="inlineStr">
        <is>
          <t>Cavas</t>
        </is>
      </c>
    </row>
    <row r="32">
      <c r="A32" s="10" t="inlineStr">
        <is>
          <t>P</t>
        </is>
      </c>
      <c r="B32" s="11" t="n">
        <v>68</v>
      </c>
      <c r="C32" s="11" t="n">
        <v>46</v>
      </c>
      <c r="D32" s="11" t="n">
        <v>22</v>
      </c>
    </row>
    <row r="33">
      <c r="A33" s="10" t="inlineStr">
        <is>
          <t>M</t>
        </is>
      </c>
      <c r="B33" s="11" t="n">
        <v>70</v>
      </c>
      <c r="C33" s="11" t="n">
        <v>48</v>
      </c>
      <c r="D33" s="11" t="n">
        <v>23</v>
      </c>
    </row>
    <row r="34">
      <c r="A34" s="10" t="inlineStr">
        <is>
          <t>G</t>
        </is>
      </c>
      <c r="B34" s="11" t="n">
        <v>72</v>
      </c>
      <c r="C34" s="11" t="n">
        <v>50</v>
      </c>
      <c r="D34" s="11" t="n">
        <v>24</v>
      </c>
    </row>
    <row r="35">
      <c r="A35" s="10" t="inlineStr">
        <is>
          <t>GG</t>
        </is>
      </c>
      <c r="B35" s="11" t="n">
        <v>74</v>
      </c>
      <c r="C35" s="11" t="n">
        <v>52</v>
      </c>
      <c r="D35" s="11" t="n">
        <v>25</v>
      </c>
    </row>
    <row r="36">
      <c r="A36" s="10" t="inlineStr">
        <is>
          <t>EG</t>
        </is>
      </c>
      <c r="B36" s="11" t="n">
        <v>76</v>
      </c>
      <c r="C36" s="11" t="n">
        <v>54</v>
      </c>
      <c r="D36" s="11" t="n">
        <v>26</v>
      </c>
    </row>
    <row r="37" ht="30" customHeight="1">
      <c r="A37" s="2" t="inlineStr">
        <is>
          <t>Em cm, ± 1–2 cm. Largura = meia-circunferência do peito (M = 48 cm ≈ 96 cm de volta, menor que o tórax do modelo — a nervura estica). 'Cavas' = altura da cava. ⚠️ Faltam largura da alça/ombro e medida da barra.</t>
        </is>
      </c>
    </row>
    <row r="38">
      <c r="A38" s="15" t="inlineStr">
        <is>
          <t>Modelo das fotos: 1,84 m · 84 kg · veste M</t>
        </is>
      </c>
    </row>
    <row r="40">
      <c r="A40" s="27" t="inlineStr">
        <is>
          <t>4. Cores disponíveis</t>
        </is>
      </c>
      <c r="B40" s="28" t="n"/>
      <c r="C40" s="28" t="n"/>
      <c r="D40" s="28" t="n"/>
      <c r="E40" s="28" t="n"/>
      <c r="F40" s="28" t="n"/>
    </row>
    <row r="41">
      <c r="A41" s="9" t="inlineStr">
        <is>
          <t>Cor</t>
        </is>
      </c>
      <c r="B41" s="9" t="inlineStr">
        <is>
          <t>Código HMZT</t>
        </is>
      </c>
      <c r="C41" s="9" t="inlineStr">
        <is>
          <t>Ref. fornecedor</t>
        </is>
      </c>
      <c r="D41" s="9" t="inlineStr">
        <is>
          <t>Observação</t>
        </is>
      </c>
    </row>
    <row r="42">
      <c r="A42" s="10" t="inlineStr">
        <is>
          <t>Preto</t>
        </is>
      </c>
      <c r="B42" s="10" t="inlineStr">
        <is>
          <t>PRT</t>
        </is>
      </c>
      <c r="C42" s="10" t="inlineStr">
        <is>
          <t>— (sem ref.)</t>
        </is>
      </c>
      <c r="D42" s="10" t="inlineStr">
        <is>
          <t>Fotos #1–#3</t>
        </is>
      </c>
    </row>
    <row r="43">
      <c r="A43" s="10" t="inlineStr">
        <is>
          <t>Branco</t>
        </is>
      </c>
      <c r="B43" s="10" t="inlineStr">
        <is>
          <t>BRA</t>
        </is>
      </c>
      <c r="C43" s="10" t="inlineStr">
        <is>
          <t>— (sem ref.)</t>
        </is>
      </c>
      <c r="D43" s="10" t="inlineStr">
        <is>
          <t>Fotos #6–#8 (lê como branco óptico / off leve)</t>
        </is>
      </c>
    </row>
    <row r="44">
      <c r="A44" s="10" t="inlineStr">
        <is>
          <t>Azul</t>
        </is>
      </c>
      <c r="B44" s="10" t="inlineStr">
        <is>
          <t>AZU</t>
        </is>
      </c>
      <c r="C44" s="10" t="inlineStr">
        <is>
          <t>— (sem ref.)</t>
        </is>
      </c>
      <c r="D44" s="10" t="inlineStr">
        <is>
          <t>Fotos #9–#10 — azul médio 'cornflower', não royal</t>
        </is>
      </c>
    </row>
    <row r="45">
      <c r="A45" s="10" t="inlineStr">
        <is>
          <t>Vermelho</t>
        </is>
      </c>
      <c r="B45" s="10" t="inlineStr">
        <is>
          <t>VRM</t>
        </is>
      </c>
      <c r="C45" s="10" t="inlineStr">
        <is>
          <t>— (sem ref.)</t>
        </is>
      </c>
      <c r="D45" s="10" t="inlineStr">
        <is>
          <t>Fotos #4–#5</t>
        </is>
      </c>
    </row>
    <row r="46">
      <c r="A46" s="10" t="inlineStr">
        <is>
          <t>Marinho</t>
        </is>
      </c>
      <c r="B46" s="10" t="inlineStr">
        <is>
          <t>MAR</t>
        </is>
      </c>
      <c r="C46" s="10" t="inlineStr">
        <is>
          <t>— (sem ref.)</t>
        </is>
      </c>
      <c r="D46" s="10" t="inlineStr">
        <is>
          <t>Fotos #11–#12</t>
        </is>
      </c>
    </row>
    <row r="47" ht="30" customHeight="1">
      <c r="A47" s="2" t="inlineStr">
        <is>
          <t>5 cores na ficha técnica, todas fotografadas. A página não publica código de referência por cor (diferente dos moletons) — pedir. Página sem seletor de variação ('Esse acabou').</t>
        </is>
      </c>
    </row>
    <row r="49">
      <c r="A49" s="27" t="inlineStr">
        <is>
          <t>5. Personalização (preço sempre sob orçamento)</t>
        </is>
      </c>
      <c r="B49" s="28" t="n"/>
      <c r="C49" s="28" t="n"/>
      <c r="D49" s="28" t="n"/>
      <c r="E49" s="28" t="n"/>
      <c r="F49" s="28" t="n"/>
    </row>
    <row r="50">
      <c r="A50" s="9" t="inlineStr">
        <is>
          <t>Técnica</t>
        </is>
      </c>
      <c r="B50" s="9" t="inlineStr">
        <is>
          <t>Detalhe</t>
        </is>
      </c>
      <c r="C50" s="9" t="inlineStr">
        <is>
          <t>Mínimo</t>
        </is>
      </c>
    </row>
    <row r="51">
      <c r="A51" s="10" t="inlineStr">
        <is>
          <t>Bordado</t>
        </is>
      </c>
      <c r="B51" s="10" t="inlineStr">
        <is>
          <t>Peito esquerdo pequeno (≤ 6 cm) — 🟢 melhor opção; usar entretela removível para a nervura não repuxar</t>
        </is>
      </c>
      <c r="C51" s="10" t="inlineStr">
        <is>
          <t>20 pç</t>
        </is>
      </c>
    </row>
    <row r="52">
      <c r="A52" s="10" t="inlineStr">
        <is>
          <t>Silk base d'água</t>
        </is>
      </c>
      <c r="B52" s="10" t="inlineStr">
        <is>
          <t>Frente/costas — ⚠️ nervura 2/1 dá impressão 'listrada'; só tinta com elasticidade, nunca plastisol rígido</t>
        </is>
      </c>
      <c r="C52" s="10" t="inlineStr">
        <is>
          <t>20 pç</t>
        </is>
      </c>
    </row>
    <row r="53">
      <c r="A53" s="10" t="inlineStr">
        <is>
          <t>DTF</t>
        </is>
      </c>
      <c r="B53" s="10" t="inlineStr">
        <is>
          <t>Full color — ⚠️ filme rígido sobre malha elástica tende a trincar; só peça-teste</t>
        </is>
      </c>
      <c r="C53" s="10" t="inlineStr">
        <is>
          <t>20 pç</t>
        </is>
      </c>
    </row>
    <row r="54">
      <c r="A54" s="10" t="inlineStr">
        <is>
          <t>Etiqueta private label</t>
        </is>
      </c>
      <c r="B54" s="10" t="inlineStr">
        <is>
          <t>Etiqueta interna + tag</t>
        </is>
      </c>
      <c r="C54" s="10" t="inlineStr">
        <is>
          <t>20 pç</t>
        </is>
      </c>
    </row>
    <row r="55">
      <c r="A55" s="10" t="inlineStr">
        <is>
          <t>Preço</t>
        </is>
      </c>
      <c r="B55" s="10" t="inlineStr">
        <is>
          <t>Toda personalização sob orçamento (não informado)</t>
        </is>
      </c>
      <c r="C55" s="10" t="inlineStr">
        <is>
          <t>—</t>
        </is>
      </c>
    </row>
    <row r="57">
      <c r="A57" s="27" t="inlineStr">
        <is>
          <t>6. Preços do fornecedor (desconto progressivo)</t>
        </is>
      </c>
      <c r="B57" s="28" t="n"/>
      <c r="C57" s="28" t="n"/>
      <c r="D57" s="28" t="n"/>
      <c r="E57" s="28" t="n"/>
      <c r="F57" s="28" t="n"/>
    </row>
    <row r="58">
      <c r="A58" s="24" t="inlineStr">
        <is>
          <t>Preço base (R$)</t>
        </is>
      </c>
      <c r="B58" s="31" t="n">
        <v>24.99</v>
      </c>
    </row>
    <row r="59">
      <c r="A59" s="17" t="inlineStr">
        <is>
          <t>Faixa</t>
        </is>
      </c>
      <c r="B59" s="17" t="inlineStr">
        <is>
          <t>Peças</t>
        </is>
      </c>
      <c r="C59" s="17" t="inlineStr">
        <is>
          <t>Desconto</t>
        </is>
      </c>
      <c r="D59" s="17" t="inlineStr">
        <is>
          <t>Preço unitário</t>
        </is>
      </c>
      <c r="E59" s="17" t="inlineStr">
        <is>
          <t>Preço + Pix</t>
        </is>
      </c>
    </row>
    <row r="60">
      <c r="A60" s="18" t="inlineStr">
        <is>
          <t>Faixa 1</t>
        </is>
      </c>
      <c r="B60" s="18" t="inlineStr">
        <is>
          <t>20–40</t>
        </is>
      </c>
      <c r="C60" s="32">
        <f>'Regras Fornecedor'!$D$4</f>
        <v/>
      </c>
      <c r="D60" s="33">
        <f>ROUND($B$58*(1-C60),2)</f>
        <v/>
      </c>
      <c r="E60" s="34">
        <f>ROUND(D60*(1-'Regras Fornecedor'!$B$10),2)</f>
        <v/>
      </c>
    </row>
    <row r="61">
      <c r="A61" s="18" t="inlineStr">
        <is>
          <t>Faixa 2</t>
        </is>
      </c>
      <c r="B61" s="18" t="inlineStr">
        <is>
          <t>40–80</t>
        </is>
      </c>
      <c r="C61" s="32">
        <f>'Regras Fornecedor'!$D$5</f>
        <v/>
      </c>
      <c r="D61" s="33">
        <f>ROUND($B$58*(1-C61),2)</f>
        <v/>
      </c>
      <c r="E61" s="34">
        <f>ROUND(D61*(1-'Regras Fornecedor'!$B$10),2)</f>
        <v/>
      </c>
    </row>
    <row r="62">
      <c r="A62" s="18" t="inlineStr">
        <is>
          <t>Faixa 3</t>
        </is>
      </c>
      <c r="B62" s="18" t="inlineStr">
        <is>
          <t>80–100</t>
        </is>
      </c>
      <c r="C62" s="32">
        <f>'Regras Fornecedor'!$D$6</f>
        <v/>
      </c>
      <c r="D62" s="33">
        <f>ROUND($B$58*(1-C62),2)</f>
        <v/>
      </c>
      <c r="E62" s="34">
        <f>ROUND(D62*(1-'Regras Fornecedor'!$B$10),2)</f>
        <v/>
      </c>
    </row>
    <row r="63">
      <c r="A63" s="18" t="inlineStr">
        <is>
          <t>Faixa 4</t>
        </is>
      </c>
      <c r="B63" s="18" t="inlineStr">
        <is>
          <t>100–300</t>
        </is>
      </c>
      <c r="C63" s="32">
        <f>'Regras Fornecedor'!$D$7</f>
        <v/>
      </c>
      <c r="D63" s="33">
        <f>ROUND($B$58*(1-C63),2)</f>
        <v/>
      </c>
      <c r="E63" s="34">
        <f>ROUND(D63*(1-'Regras Fornecedor'!$B$10),2)</f>
        <v/>
      </c>
    </row>
    <row r="64">
      <c r="A64" s="18" t="inlineStr">
        <is>
          <t>Faixa 5</t>
        </is>
      </c>
      <c r="B64" s="18" t="inlineStr">
        <is>
          <t>300–999</t>
        </is>
      </c>
      <c r="C64" s="32">
        <f>'Regras Fornecedor'!$D$8</f>
        <v/>
      </c>
      <c r="D64" s="33">
        <f>ROUND($B$58*(1-C64),2)</f>
        <v/>
      </c>
      <c r="E64" s="34">
        <f>ROUND(D64*(1-'Regras Fornecedor'!$B$10),2)</f>
        <v/>
      </c>
    </row>
    <row r="66">
      <c r="A66" s="27" t="inlineStr">
        <is>
          <t>7. Custo HMZT e margem (lote de 20 peças, Pix)</t>
        </is>
      </c>
      <c r="B66" s="28" t="n"/>
      <c r="C66" s="28" t="n"/>
      <c r="D66" s="28" t="n"/>
      <c r="E66" s="28" t="n"/>
      <c r="F66" s="28" t="n"/>
    </row>
    <row r="67">
      <c r="A67" s="24" t="inlineStr">
        <is>
          <t>Peça (20 pç, Pix)</t>
        </is>
      </c>
      <c r="B67" s="35">
        <f>E60</f>
        <v/>
      </c>
    </row>
    <row r="68">
      <c r="A68" s="24" t="inlineStr">
        <is>
          <t>Personalização + etiqueta + tag (R$/pç)</t>
        </is>
      </c>
      <c r="B68" s="36" t="n">
        <v>8</v>
      </c>
      <c r="C68" s="15" t="inlineStr">
        <is>
          <t>Estimativa HMZT — trocar pelo orçamento real</t>
        </is>
      </c>
    </row>
    <row r="69">
      <c r="A69" s="24" t="inlineStr">
        <is>
          <t>Frete rateado + embalagem (R$/pç)</t>
        </is>
      </c>
      <c r="B69" s="36" t="n">
        <v>4</v>
      </c>
      <c r="C69" s="15" t="inlineStr">
        <is>
          <t>Estimativa HMZT — trocar pelo orçamento real</t>
        </is>
      </c>
    </row>
    <row r="70">
      <c r="A70" s="24" t="inlineStr">
        <is>
          <t>Custo unitário estimado</t>
        </is>
      </c>
      <c r="B70" s="37">
        <f>SUM(B67:B69)</f>
        <v/>
      </c>
    </row>
    <row r="71">
      <c r="A71" s="24" t="inlineStr">
        <is>
          <t>Preço de venda HMZT (R$)</t>
        </is>
      </c>
      <c r="B71" s="36" t="n">
        <v>89</v>
      </c>
      <c r="C71" s="15" t="inlineStr">
        <is>
          <t>Sugestão do dossiê — ajustar</t>
        </is>
      </c>
    </row>
    <row r="72">
      <c r="A72" s="24" t="inlineStr">
        <is>
          <t>Impostos + gateway (% do preço)</t>
        </is>
      </c>
      <c r="B72" s="38" t="n">
        <v>0</v>
      </c>
      <c r="C72" s="15" t="inlineStr">
        <is>
          <t>A preencher (Simples + taxa Asaas)</t>
        </is>
      </c>
    </row>
    <row r="73">
      <c r="A73" s="24" t="inlineStr">
        <is>
          <t>Margem bruta (R$)</t>
        </is>
      </c>
      <c r="B73" s="35">
        <f>B71-B70</f>
        <v/>
      </c>
    </row>
    <row r="74">
      <c r="A74" s="24" t="inlineStr">
        <is>
          <t>Margem bruta (%)</t>
        </is>
      </c>
      <c r="B74" s="39">
        <f>IF(B71=0,0,(B71-B70)/B71)</f>
        <v/>
      </c>
    </row>
    <row r="75">
      <c r="A75" s="24" t="inlineStr">
        <is>
          <t>Margem após impostos/gateway (%)</t>
        </is>
      </c>
      <c r="B75" s="39">
        <f>IF(B71=0,0,(B71*(1-B72)-B70)/B71)</f>
        <v/>
      </c>
      <c r="C75" s="15" t="inlineStr">
        <is>
          <t>Ainda sem frete ao cliente e mídia</t>
        </is>
      </c>
    </row>
    <row r="77">
      <c r="A77" s="27" t="inlineStr">
        <is>
          <t>8. Contradições e erros ⚠️</t>
        </is>
      </c>
      <c r="B77" s="28" t="n"/>
      <c r="C77" s="28" t="n"/>
      <c r="D77" s="28" t="n"/>
      <c r="E77" s="28" t="n"/>
      <c r="F77" s="28" t="n"/>
    </row>
    <row r="78">
      <c r="A78" s="8" t="inlineStr">
        <is>
          <t>⚠️ Estoque: página diz 'Esse acabou' (nenhuma variação selecionável); resumo diz 'Envio em até 24h'.</t>
        </is>
      </c>
    </row>
    <row r="79">
      <c r="A79" s="8" t="inlineStr">
        <is>
          <t>⚠️ Gramatura não informada — impossível comparar com regatas do mercado ou escrever '200 g' etc.</t>
        </is>
      </c>
    </row>
    <row r="80">
      <c r="A80" s="8" t="inlineStr">
        <is>
          <t>⚠️ FAQ define 2/1 como 'duas carreiras de frente para uma de verso' — em malharia são COLUNAS (nervuras verticais), não carreiras. Erro técnico do redator.</t>
        </is>
      </c>
    </row>
    <row r="81">
      <c r="A81" s="8" t="inlineStr">
        <is>
          <t>⚠️ A lisa (R$ 24,99) é MAIS CARA que a estonada (P24, R$ 23,99), que passa por um processo a mais (lavanderia). Preço invertido — confirmar.</t>
        </is>
      </c>
    </row>
    <row r="82">
      <c r="A82" s="8" t="inlineStr">
        <is>
          <t>⚠️ Nome da página alterna 'Slim Fit' e 'American Style' e o arquivo das fotos chama 'camiseta_regata_basica' — mesmo produto, nomenclatura solta.</t>
        </is>
      </c>
    </row>
    <row r="83">
      <c r="A83" s="8" t="inlineStr">
        <is>
          <t>⚠️ Opacidade 'mesmo em cores claras' é alegação: na foto #6 o branco deixa perceber o relevo do peito (a peça é justa) — não é transparência, mas marca o corpo.</t>
        </is>
      </c>
    </row>
    <row r="85">
      <c r="A85" s="27" t="inlineStr">
        <is>
          <t>9. Comunicação HMZT</t>
        </is>
      </c>
      <c r="B85" s="28" t="n"/>
      <c r="C85" s="28" t="n"/>
      <c r="D85" s="28" t="n"/>
      <c r="E85" s="28" t="n"/>
      <c r="F85" s="28" t="n"/>
    </row>
    <row r="86">
      <c r="A86" s="24" t="inlineStr">
        <is>
          <t>✅ Pode usar</t>
        </is>
      </c>
      <c r="D86" s="24" t="inlineStr">
        <is>
          <t>📣 / ⛔ Não usar</t>
        </is>
      </c>
    </row>
    <row r="87">
      <c r="A87" s="40" t="inlineStr">
        <is>
          <t>"Malha canelada 2/1, 100% algodão."</t>
        </is>
      </c>
      <c r="D87" s="8" t="inlineStr">
        <is>
          <t>📣 "A peça que o cliente prova e leva na hora" / "a venda se faz sozinha".</t>
        </is>
      </c>
    </row>
    <row r="88">
      <c r="A88" s="40" t="inlineStr">
        <is>
          <t>"Elasticidade da própria nervura — ajusta ao corpo sem elastano."</t>
        </is>
      </c>
      <c r="D88" s="8" t="inlineStr">
        <is>
          <t>📣 "Menos devolução, mais recompra", "zero reclamação por desbotamento".</t>
        </is>
      </c>
    </row>
    <row r="89">
      <c r="A89" s="40" t="inlineStr">
        <is>
          <t>"Modelagem slim, estilo americano."</t>
        </is>
      </c>
      <c r="D89" s="8" t="inlineStr">
        <is>
          <t>📣 "Domina o feed / as redes sociais", "demanda pronta".</t>
        </is>
      </c>
    </row>
    <row r="90">
      <c r="A90" s="40" t="inlineStr">
        <is>
          <t>"Gola e cavas com acabamento em ribana; travetes nos pontos de tensão."</t>
        </is>
      </c>
      <c r="D90" s="8" t="inlineStr">
        <is>
          <t>📣 "Aumenta ticket médio em qualquer venda", "faturamento recorrente".</t>
        </is>
      </c>
    </row>
    <row r="91">
      <c r="A91" s="40" t="inlineStr">
        <is>
          <t>"Fabricada em Santa Catarina."</t>
        </is>
      </c>
      <c r="D91" s="8" t="inlineStr">
        <is>
          <t>📣 "Vermelho que não desbota" (sem laudo de solidez).</t>
        </is>
      </c>
    </row>
    <row r="92">
      <c r="D92" s="8" t="inlineStr">
        <is>
          <t>⚠️ Qualquer gramatura (não informada).</t>
        </is>
      </c>
    </row>
    <row r="94">
      <c r="A94" s="27" t="inlineStr">
        <is>
          <t>10. Pendências com o fornecedor</t>
        </is>
      </c>
      <c r="B94" s="28" t="n"/>
      <c r="C94" s="28" t="n"/>
      <c r="D94" s="28" t="n"/>
      <c r="E94" s="28" t="n"/>
      <c r="F94" s="28" t="n"/>
    </row>
    <row r="95">
      <c r="A95" s="9" t="inlineStr">
        <is>
          <t>Pendência</t>
        </is>
      </c>
      <c r="B95" s="9" t="inlineStr">
        <is>
          <t>Status</t>
        </is>
      </c>
      <c r="C95" s="9" t="inlineStr">
        <is>
          <t>Responsável</t>
        </is>
      </c>
      <c r="D95" s="9" t="inlineStr">
        <is>
          <t>Resposta</t>
        </is>
      </c>
    </row>
    <row r="96">
      <c r="A96" s="10" t="inlineStr">
        <is>
          <t>Gramatura (g/m²) e título do fio</t>
        </is>
      </c>
      <c r="B96" s="11" t="inlineStr">
        <is>
          <t>Aberta</t>
        </is>
      </c>
      <c r="C96" s="11" t="inlineStr"/>
      <c r="D96" s="11" t="inlineStr"/>
    </row>
    <row r="97">
      <c r="A97" s="10" t="inlineStr">
        <is>
          <t>Reposição / estoque real por cor (página esgotada)</t>
        </is>
      </c>
      <c r="B97" s="11" t="inlineStr">
        <is>
          <t>Aberta</t>
        </is>
      </c>
      <c r="C97" s="11" t="inlineStr"/>
      <c r="D97" s="11" t="inlineStr"/>
    </row>
    <row r="98">
      <c r="A98" s="10" t="inlineStr">
        <is>
          <t>Códigos de referência por cor</t>
        </is>
      </c>
      <c r="B98" s="11" t="inlineStr">
        <is>
          <t>Aberta</t>
        </is>
      </c>
      <c r="C98" s="11" t="inlineStr"/>
      <c r="D98" s="11" t="inlineStr"/>
    </row>
    <row r="99">
      <c r="A99" s="10" t="inlineStr">
        <is>
          <t>Por que a lisa custa mais que a estonada (P24)?</t>
        </is>
      </c>
      <c r="B99" s="11" t="inlineStr">
        <is>
          <t>Aberta</t>
        </is>
      </c>
      <c r="C99" s="11" t="inlineStr"/>
      <c r="D99" s="11" t="inlineStr"/>
    </row>
    <row r="100">
      <c r="A100" s="10" t="inlineStr">
        <is>
          <t>Largura da alça e cava em cm; tabela de ombro</t>
        </is>
      </c>
      <c r="B100" s="11" t="inlineStr">
        <is>
          <t>Aberta</t>
        </is>
      </c>
      <c r="C100" s="11" t="inlineStr"/>
      <c r="D100" s="11" t="inlineStr"/>
    </row>
    <row r="101">
      <c r="A101" s="10" t="inlineStr">
        <is>
          <t>Orçamento: bordado peito pequeno + etiqueta; peça-teste de silk/DTF sobre canelado</t>
        </is>
      </c>
      <c r="B101" s="11" t="inlineStr">
        <is>
          <t>Aberta</t>
        </is>
      </c>
      <c r="C101" s="11" t="inlineStr"/>
      <c r="D101" s="11" t="inlineStr"/>
    </row>
    <row r="103">
      <c r="A103" s="27" t="inlineStr">
        <is>
          <t>11. Fluxo de prompts de lookbook (docs/shop-confeccao/prompts/P23-prompts.md)</t>
        </is>
      </c>
      <c r="B103" s="28" t="n"/>
      <c r="C103" s="28" t="n"/>
      <c r="D103" s="28" t="n"/>
      <c r="E103" s="28" t="n"/>
      <c r="F103" s="28" t="n"/>
    </row>
    <row r="104">
      <c r="A104" s="9" t="inlineStr">
        <is>
          <t>Foto</t>
        </is>
      </c>
      <c r="B104" s="9" t="inlineStr">
        <is>
          <t>Origem no print</t>
        </is>
      </c>
      <c r="C104" s="9" t="inlineStr">
        <is>
          <t>Formato</t>
        </is>
      </c>
      <c r="D104" s="9" t="inlineStr">
        <is>
          <t>Status</t>
        </is>
      </c>
    </row>
    <row r="105">
      <c r="A105" s="10" t="inlineStr">
        <is>
          <t>F1 — Frontal com colar</t>
        </is>
      </c>
      <c r="B105" s="10" t="inlineStr">
        <is>
          <t>Origem: foto #1 da galeria (preto, frontal, corrente prata, mão esquerda no bolso)</t>
        </is>
      </c>
      <c r="C105" s="10" t="inlineStr">
        <is>
          <t>4:5</t>
        </is>
      </c>
      <c r="D105" s="11" t="inlineStr">
        <is>
          <t>A gerar</t>
        </is>
      </c>
    </row>
    <row r="106">
      <c r="A106" s="10" t="inlineStr">
        <is>
          <t>F2 — Olhar baixo, leve 3/4</t>
        </is>
      </c>
      <c r="B106" s="10" t="inlineStr">
        <is>
          <t>Origem: foto #2 (preto, cabeça baixa olhando para o ombro)</t>
        </is>
      </c>
      <c r="C106" s="10" t="inlineStr">
        <is>
          <t>4:5</t>
        </is>
      </c>
      <c r="D106" s="11" t="inlineStr">
        <is>
          <t>A gerar</t>
        </is>
      </c>
    </row>
    <row r="107">
      <c r="A107" s="10" t="inlineStr">
        <is>
          <t>F3 — Detalhe gola e cava</t>
        </is>
      </c>
      <c r="B107" s="10" t="inlineStr">
        <is>
          <t>Origem: foto #3 (preto, recorte do nariz ao peito)</t>
        </is>
      </c>
      <c r="C107" s="10" t="inlineStr">
        <is>
          <t>4:5</t>
        </is>
      </c>
      <c r="D107" s="11" t="inlineStr">
        <is>
          <t>A gerar</t>
        </is>
      </c>
    </row>
    <row r="108">
      <c r="A108" s="10" t="inlineStr">
        <is>
          <t>F4 — Olhar para o lado</t>
        </is>
      </c>
      <c r="B108" s="10" t="inlineStr">
        <is>
          <t>Origem: foto #4 (vermelho, rosto virado, mão no bolso)</t>
        </is>
      </c>
      <c r="C108" s="10" t="inlineStr">
        <is>
          <t>4:5</t>
        </is>
      </c>
      <c r="D108" s="11" t="inlineStr">
        <is>
          <t>A gerar</t>
        </is>
      </c>
    </row>
    <row r="109">
      <c r="A109" s="10" t="inlineStr">
        <is>
          <t>F5 — Frontal, polegares nos bolsos</t>
        </is>
      </c>
      <c r="B109" s="10" t="inlineStr">
        <is>
          <t>Origem: foto #5 (vermelho, frontal, olhar na câmera)</t>
        </is>
      </c>
      <c r="C109" s="10" t="inlineStr">
        <is>
          <t>4:5</t>
        </is>
      </c>
      <c r="D109" s="11" t="inlineStr">
        <is>
          <t>A gerar</t>
        </is>
      </c>
    </row>
    <row r="110">
      <c r="A110" s="10" t="inlineStr">
        <is>
          <t>F6 — Frontal simétrico</t>
        </is>
      </c>
      <c r="B110" s="10" t="inlineStr">
        <is>
          <t>Origem: foto #6 (branco, frontal, mãos nos bolsos)</t>
        </is>
      </c>
      <c r="C110" s="10" t="inlineStr">
        <is>
          <t>4:5</t>
        </is>
      </c>
      <c r="D110" s="11" t="inlineStr">
        <is>
          <t>A gerar</t>
        </is>
      </c>
    </row>
    <row r="111">
      <c r="A111" s="10" t="inlineStr">
        <is>
          <t>F7 — 3/4 segurando a barra</t>
        </is>
      </c>
      <c r="B111" s="10" t="inlineStr">
        <is>
          <t>Origem: foto #7 (branco, 3/4, cabeça inclinada, mãos na barra)</t>
        </is>
      </c>
      <c r="C111" s="10" t="inlineStr">
        <is>
          <t>4:5</t>
        </is>
      </c>
      <c r="D111" s="11" t="inlineStr">
        <is>
          <t>A gerar</t>
        </is>
      </c>
    </row>
    <row r="112">
      <c r="A112" s="10" t="inlineStr">
        <is>
          <t>F8 — Detalhe gola e ombro (centralizado)</t>
        </is>
      </c>
      <c r="B112" s="10" t="inlineStr">
        <is>
          <t>Origem: foto #8 (branco, recorte dos lábios ao peito)</t>
        </is>
      </c>
      <c r="C112" s="10" t="inlineStr">
        <is>
          <t>4:5</t>
        </is>
      </c>
      <c r="D112" s="11" t="inlineStr">
        <is>
          <t>A gerar</t>
        </is>
      </c>
    </row>
    <row r="113">
      <c r="A113" s="10" t="inlineStr">
        <is>
          <t>F9 — 3/4 olhar baixo lateral</t>
        </is>
      </c>
      <c r="B113" s="10" t="inlineStr">
        <is>
          <t>Origem: foto #9 (azul, rosto para a direita da câmera)</t>
        </is>
      </c>
      <c r="C113" s="10" t="inlineStr">
        <is>
          <t>4:5</t>
        </is>
      </c>
      <c r="D113" s="11" t="inlineStr">
        <is>
          <t>A gerar</t>
        </is>
      </c>
    </row>
    <row r="114">
      <c r="A114" s="10" t="inlineStr">
        <is>
          <t>F10 — Puxando a barra</t>
        </is>
      </c>
      <c r="B114" s="10" t="inlineStr">
        <is>
          <t>Origem: foto #10 (azul, mãos puxando a barra)</t>
        </is>
      </c>
      <c r="C114" s="10" t="inlineStr">
        <is>
          <t>4:5</t>
        </is>
      </c>
      <c r="D114" s="11" t="inlineStr">
        <is>
          <t>A gerar</t>
        </is>
      </c>
    </row>
    <row r="115">
      <c r="A115" s="10" t="inlineStr">
        <is>
          <t>F11 — Frontal olhando para fora</t>
        </is>
      </c>
      <c r="B115" s="10" t="inlineStr">
        <is>
          <t>Origem: foto #11 (marinho, corpo de frente, rosto virado)</t>
        </is>
      </c>
      <c r="C115" s="10" t="inlineStr">
        <is>
          <t>4:5</t>
        </is>
      </c>
      <c r="D115" s="11" t="inlineStr">
        <is>
          <t>A gerar</t>
        </is>
      </c>
    </row>
    <row r="116">
      <c r="A116" s="10" t="inlineStr">
        <is>
          <t>F12 — Detalhe com corrente</t>
        </is>
      </c>
      <c r="B116" s="10" t="inlineStr">
        <is>
          <t>Origem: foto #12 (marinho, recorte dos lábios ao peito)</t>
        </is>
      </c>
      <c r="C116" s="10" t="inlineStr">
        <is>
          <t>4:5</t>
        </is>
      </c>
      <c r="D116" s="11" t="inlineStr">
        <is>
          <t>A gerar</t>
        </is>
      </c>
    </row>
  </sheetData>
  <mergeCells count="41">
    <mergeCell ref="B4:F4"/>
    <mergeCell ref="A90:C90"/>
    <mergeCell ref="B7:F7"/>
    <mergeCell ref="A80:F80"/>
    <mergeCell ref="A37:F37"/>
    <mergeCell ref="A89:C89"/>
    <mergeCell ref="B15:E15"/>
    <mergeCell ref="B24:E24"/>
    <mergeCell ref="B20:E20"/>
    <mergeCell ref="D91:F91"/>
    <mergeCell ref="D87:F87"/>
    <mergeCell ref="B26:E26"/>
    <mergeCell ref="A47:F47"/>
    <mergeCell ref="A87:C87"/>
    <mergeCell ref="B11:F11"/>
    <mergeCell ref="B16:E16"/>
    <mergeCell ref="B25:E25"/>
    <mergeCell ref="A91:C91"/>
    <mergeCell ref="B8:F8"/>
    <mergeCell ref="D92:F92"/>
    <mergeCell ref="B22:E22"/>
    <mergeCell ref="A81:F81"/>
    <mergeCell ref="B18:E18"/>
    <mergeCell ref="B27:E27"/>
    <mergeCell ref="D89:F89"/>
    <mergeCell ref="B10:F10"/>
    <mergeCell ref="B21:E21"/>
    <mergeCell ref="D88:F88"/>
    <mergeCell ref="A83:F83"/>
    <mergeCell ref="B9:F9"/>
    <mergeCell ref="B17:E17"/>
    <mergeCell ref="B23:E23"/>
    <mergeCell ref="A82:F82"/>
    <mergeCell ref="D90:F90"/>
    <mergeCell ref="B6:F6"/>
    <mergeCell ref="B5:F5"/>
    <mergeCell ref="A79:F79"/>
    <mergeCell ref="A88:C88"/>
    <mergeCell ref="B19:E19"/>
    <mergeCell ref="A78:F78"/>
    <mergeCell ref="B28:E28"/>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P24 — Regata Estonada Canelada 2/1 Slim Fit (Stone Wash)</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HMZT-P24-SLM-CAN21SW</t>
        </is>
      </c>
    </row>
    <row r="5">
      <c r="A5" s="24" t="inlineStr">
        <is>
          <t>Fornecedor</t>
        </is>
      </c>
      <c r="B5" s="2" t="inlineStr">
        <is>
          <t>Lunfe Malhas — fabricação própria, Itajaí-SC</t>
        </is>
      </c>
    </row>
    <row r="6">
      <c r="A6" s="24" t="inlineStr">
        <is>
          <t>Referência</t>
        </is>
      </c>
      <c r="B6" s="2" t="inlineStr">
        <is>
          <t>7896139148606 (EAN-13)</t>
        </is>
      </c>
    </row>
    <row r="7">
      <c r="A7" s="24" t="inlineStr">
        <is>
          <t>URL</t>
        </is>
      </c>
      <c r="B7" s="2" t="inlineStr">
        <is>
          <t>lunfemalhas.com.br/regata-estonada-canelada-atacado-stone-wash-lunfe</t>
        </is>
      </c>
    </row>
    <row r="8">
      <c r="A8" s="24" t="inlineStr">
        <is>
          <t>Categoria no site</t>
        </is>
      </c>
      <c r="B8" s="2" t="inlineStr">
        <is>
          <t>Camisetas › Masculino › Regatas</t>
        </is>
      </c>
    </row>
    <row r="9">
      <c r="A9" s="24" t="inlineStr">
        <is>
          <t>Linha HMZT recomendada</t>
        </is>
      </c>
      <c r="B9" s="2" t="inlineStr">
        <is>
          <t>Regatas / Verão — Vintage (drop streetwear, lavada)</t>
        </is>
      </c>
    </row>
    <row r="10">
      <c r="A10" s="24" t="inlineStr">
        <is>
          <t>Estoque</t>
        </is>
      </c>
      <c r="B10" s="8" t="inlineStr">
        <is>
          <t>🔴 'Esse acabou' na página; FAQ avisa que a reposição da estonada é lenta (lavanderia)</t>
        </is>
      </c>
    </row>
    <row r="11">
      <c r="A11" s="24" t="inlineStr">
        <is>
          <t>Descritor canônico (IA)</t>
        </is>
      </c>
      <c r="B11" s="2" t="inlineStr">
        <is>
          <t>Regata masculina slim fit em malha canelada 2/1 de algodão lavada com pedras (stone wash): cor desbotada irregular, nervuras com claros e escuros, viés da gola e das cavas com borda mais clara e gasta. Gola careca alta, cavas moderadas, barra reta no quadril. Fosca, toque macio. Peça lisa.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Tipo</t>
        </is>
      </c>
      <c r="B15" s="10" t="inlineStr">
        <is>
          <t>Regata masculina (sem manga)</t>
        </is>
      </c>
      <c r="C15" s="29" t="n"/>
      <c r="D15" s="29" t="n"/>
      <c r="E15" s="30" t="n"/>
    </row>
    <row r="16">
      <c r="A16" s="10" t="inlineStr">
        <is>
          <t>Malha</t>
        </is>
      </c>
      <c r="B16" s="10" t="inlineStr">
        <is>
          <t>Canelada rib knit 2/1 (mesma base da P23)</t>
        </is>
      </c>
      <c r="C16" s="29" t="n"/>
      <c r="D16" s="29" t="n"/>
      <c r="E16" s="30" t="n"/>
    </row>
    <row r="17">
      <c r="A17" s="10" t="inlineStr">
        <is>
          <t>Composição</t>
        </is>
      </c>
      <c r="B17" s="10" t="inlineStr">
        <is>
          <t>100% algodão</t>
        </is>
      </c>
      <c r="C17" s="29" t="n"/>
      <c r="D17" s="29" t="n"/>
      <c r="E17" s="30" t="n"/>
    </row>
    <row r="18">
      <c r="A18" s="10" t="inlineStr">
        <is>
          <t>Gramatura</t>
        </is>
      </c>
      <c r="B18" s="10" t="inlineStr">
        <is>
          <t>Não informada</t>
        </is>
      </c>
      <c r="C18" s="29" t="n"/>
      <c r="D18" s="29" t="n"/>
      <c r="E18" s="30" t="n"/>
    </row>
    <row r="19">
      <c r="A19" s="10" t="inlineStr">
        <is>
          <t>Processo</t>
        </is>
      </c>
      <c r="B19" s="10" t="inlineStr">
        <is>
          <t>Estonagem em lavanderia industrial (stone wash)</t>
        </is>
      </c>
      <c r="C19" s="29" t="n"/>
      <c r="D19" s="29" t="n"/>
      <c r="E19" s="30" t="n"/>
    </row>
    <row r="20">
      <c r="A20" s="10" t="inlineStr">
        <is>
          <t>Toque</t>
        </is>
      </c>
      <c r="B20" s="10" t="inlineStr">
        <is>
          <t>'Peletizado', 'ultra macio', 'aveludado'</t>
        </is>
      </c>
      <c r="C20" s="29" t="n"/>
      <c r="D20" s="29" t="n"/>
      <c r="E20" s="30" t="n"/>
    </row>
    <row r="21">
      <c r="A21" s="10" t="inlineStr">
        <is>
          <t>Modelagem</t>
        </is>
      </c>
      <c r="B21" s="10" t="inlineStr">
        <is>
          <t>Slim fit atlético</t>
        </is>
      </c>
      <c r="C21" s="29" t="n"/>
      <c r="D21" s="29" t="n"/>
      <c r="E21" s="30" t="n"/>
    </row>
    <row r="22">
      <c r="A22" s="10" t="inlineStr">
        <is>
          <t>Gola</t>
        </is>
      </c>
      <c r="B22" s="10" t="inlineStr">
        <is>
          <t>Careca, reforçada, com efeito desgastado</t>
        </is>
      </c>
      <c r="C22" s="29" t="n"/>
      <c r="D22" s="29" t="n"/>
      <c r="E22" s="30" t="n"/>
    </row>
    <row r="23">
      <c r="A23" s="10" t="inlineStr">
        <is>
          <t>Cavas</t>
        </is>
      </c>
      <c r="B23" s="10" t="inlineStr">
        <is>
          <t>Acabamento limpo com viés de ribana</t>
        </is>
      </c>
      <c r="C23" s="29" t="n"/>
      <c r="D23" s="29" t="n"/>
      <c r="E23" s="30" t="n"/>
    </row>
    <row r="24">
      <c r="A24" s="10" t="inlineStr">
        <is>
          <t>Reforços</t>
        </is>
      </c>
      <c r="B24" s="10" t="inlineStr">
        <is>
          <t>Travetes nos pontos de tensão</t>
        </is>
      </c>
      <c r="C24" s="29" t="n"/>
      <c r="D24" s="29" t="n"/>
      <c r="E24" s="30" t="n"/>
    </row>
    <row r="25">
      <c r="A25" s="10" t="inlineStr">
        <is>
          <t>Tratamentos</t>
        </is>
      </c>
      <c r="B25" s="10" t="inlineStr">
        <is>
          <t>Amaciamento por estonagem; pré-encolhida pelo processo</t>
        </is>
      </c>
      <c r="C25" s="29" t="n"/>
      <c r="D25" s="29" t="n"/>
      <c r="E25" s="30" t="n"/>
    </row>
    <row r="26">
      <c r="A26" s="10" t="inlineStr">
        <is>
          <t>Encolhimento</t>
        </is>
      </c>
      <c r="B26" s="10" t="inlineStr">
        <is>
          <t>'Zero pós-compra'</t>
        </is>
      </c>
      <c r="C26" s="29" t="n"/>
      <c r="D26" s="29" t="n"/>
      <c r="E26" s="30" t="n"/>
    </row>
    <row r="27">
      <c r="A27" s="10" t="inlineStr">
        <is>
          <t>Variação</t>
        </is>
      </c>
      <c r="B27" s="10" t="inlineStr">
        <is>
          <t>Cada peça sai com desgaste diferente (lote a lote e peça a peça)</t>
        </is>
      </c>
      <c r="C27" s="29" t="n"/>
      <c r="D27" s="29" t="n"/>
      <c r="E27" s="30" t="n"/>
    </row>
    <row r="28">
      <c r="A28" s="10" t="inlineStr">
        <is>
          <t>Tamanhos</t>
        </is>
      </c>
      <c r="B28" s="10" t="inlineStr">
        <is>
          <t>P ao EG (5)</t>
        </is>
      </c>
      <c r="C28" s="29" t="n"/>
      <c r="D28" s="29" t="n"/>
      <c r="E28" s="30" t="n"/>
    </row>
    <row r="29">
      <c r="A29" s="10" t="inlineStr">
        <is>
          <t>Produção</t>
        </is>
      </c>
      <c r="B29" s="10" t="inlineStr">
        <is>
          <t>Fabricação própria — Itajaí-SC</t>
        </is>
      </c>
      <c r="C29" s="29" t="n"/>
      <c r="D29" s="29" t="n"/>
      <c r="E29" s="30" t="n"/>
    </row>
    <row r="30">
      <c r="A30" s="10" t="inlineStr">
        <is>
          <t>Modelo das fotos</t>
        </is>
      </c>
      <c r="B30" s="10" t="inlineStr">
        <is>
          <t>1,84 m · 84 kg · veste M</t>
        </is>
      </c>
      <c r="C30" s="29" t="n"/>
      <c r="D30" s="29" t="n"/>
      <c r="E30" s="30" t="n"/>
    </row>
    <row r="32">
      <c r="A32" s="27" t="inlineStr">
        <is>
          <t>3. Tabela de medidas (cm)</t>
        </is>
      </c>
      <c r="B32" s="28" t="n"/>
      <c r="C32" s="28" t="n"/>
      <c r="D32" s="28" t="n"/>
      <c r="E32" s="28" t="n"/>
      <c r="F32" s="28" t="n"/>
    </row>
    <row r="33">
      <c r="A33" s="9" t="inlineStr">
        <is>
          <t>Tamanho</t>
        </is>
      </c>
      <c r="B33" s="9" t="inlineStr">
        <is>
          <t>Comprimento</t>
        </is>
      </c>
      <c r="C33" s="9" t="inlineStr">
        <is>
          <t>Largura</t>
        </is>
      </c>
      <c r="D33" s="9" t="inlineStr">
        <is>
          <t>Cavas</t>
        </is>
      </c>
    </row>
    <row r="34">
      <c r="A34" s="10" t="inlineStr">
        <is>
          <t>P</t>
        </is>
      </c>
      <c r="B34" s="11" t="n">
        <v>68</v>
      </c>
      <c r="C34" s="11" t="n">
        <v>46</v>
      </c>
      <c r="D34" s="11" t="n">
        <v>22</v>
      </c>
    </row>
    <row r="35">
      <c r="A35" s="10" t="inlineStr">
        <is>
          <t>M</t>
        </is>
      </c>
      <c r="B35" s="11" t="n">
        <v>70</v>
      </c>
      <c r="C35" s="11" t="n">
        <v>48</v>
      </c>
      <c r="D35" s="11" t="n">
        <v>23</v>
      </c>
    </row>
    <row r="36">
      <c r="A36" s="10" t="inlineStr">
        <is>
          <t>G</t>
        </is>
      </c>
      <c r="B36" s="11" t="n">
        <v>72</v>
      </c>
      <c r="C36" s="11" t="n">
        <v>50</v>
      </c>
      <c r="D36" s="11" t="n">
        <v>24</v>
      </c>
    </row>
    <row r="37">
      <c r="A37" s="10" t="inlineStr">
        <is>
          <t>GG</t>
        </is>
      </c>
      <c r="B37" s="11" t="n">
        <v>74</v>
      </c>
      <c r="C37" s="11" t="n">
        <v>52</v>
      </c>
      <c r="D37" s="11" t="n">
        <v>25</v>
      </c>
    </row>
    <row r="38">
      <c r="A38" s="10" t="inlineStr">
        <is>
          <t>EG</t>
        </is>
      </c>
      <c r="B38" s="11" t="n">
        <v>76</v>
      </c>
      <c r="C38" s="11" t="n">
        <v>54</v>
      </c>
      <c r="D38" s="11" t="n">
        <v>26</v>
      </c>
    </row>
    <row r="39" ht="30" customHeight="1">
      <c r="A39" s="2" t="inlineStr">
        <is>
          <t>Em cm, ± 1–2 cm, peça pré-encolhida. Tabela idêntica à P23 (M = 70 × 48, cava 23). ⚠️ Faltam largura de alça e barra; gramatura não informada.</t>
        </is>
      </c>
    </row>
    <row r="40">
      <c r="A40" s="15" t="inlineStr">
        <is>
          <t>Modelo das fotos: 1,84 m · 84 kg · veste M</t>
        </is>
      </c>
    </row>
    <row r="42">
      <c r="A42" s="27" t="inlineStr">
        <is>
          <t>4. Cores disponíveis</t>
        </is>
      </c>
      <c r="B42" s="28" t="n"/>
      <c r="C42" s="28" t="n"/>
      <c r="D42" s="28" t="n"/>
      <c r="E42" s="28" t="n"/>
      <c r="F42" s="28" t="n"/>
    </row>
    <row r="43">
      <c r="A43" s="9" t="inlineStr">
        <is>
          <t>Cor</t>
        </is>
      </c>
      <c r="B43" s="9" t="inlineStr">
        <is>
          <t>Código HMZT</t>
        </is>
      </c>
      <c r="C43" s="9" t="inlineStr">
        <is>
          <t>Ref. fornecedor</t>
        </is>
      </c>
      <c r="D43" s="9" t="inlineStr">
        <is>
          <t>Observação</t>
        </is>
      </c>
    </row>
    <row r="44">
      <c r="A44" s="10" t="inlineStr">
        <is>
          <t>Azul</t>
        </is>
      </c>
      <c r="B44" s="10" t="inlineStr">
        <is>
          <t>AZU</t>
        </is>
      </c>
      <c r="C44" s="10" t="inlineStr">
        <is>
          <t>— (sem ref.)</t>
        </is>
      </c>
      <c r="D44" s="10" t="inlineStr">
        <is>
          <t>Fotos #1–#2 — azul cobalto desbotado</t>
        </is>
      </c>
    </row>
    <row r="45">
      <c r="A45" s="10" t="inlineStr">
        <is>
          <t>Cinza</t>
        </is>
      </c>
      <c r="B45" s="10" t="inlineStr">
        <is>
          <t>CIN</t>
        </is>
      </c>
      <c r="C45" s="10" t="inlineStr">
        <is>
          <t>— (sem ref.)</t>
        </is>
      </c>
      <c r="D45" s="10" t="inlineStr">
        <is>
          <t>Fotos #3–#5 — grafite lavado</t>
        </is>
      </c>
    </row>
    <row r="46">
      <c r="A46" s="10" t="inlineStr">
        <is>
          <t>Bordô</t>
        </is>
      </c>
      <c r="B46" s="10" t="inlineStr">
        <is>
          <t>BDO</t>
        </is>
      </c>
      <c r="C46" s="10" t="inlineStr">
        <is>
          <t>— (sem ref.)</t>
        </is>
      </c>
      <c r="D46" s="10" t="inlineStr">
        <is>
          <t>Fotos #6–#7 — lê como malva/ameixa desbotado, bem mais claro que um bordô</t>
        </is>
      </c>
    </row>
    <row r="47">
      <c r="A47" s="10" t="inlineStr">
        <is>
          <t>Verde</t>
        </is>
      </c>
      <c r="B47" s="10" t="inlineStr">
        <is>
          <t>VRD</t>
        </is>
      </c>
      <c r="C47" s="10" t="inlineStr">
        <is>
          <t>— (sem ref.)</t>
        </is>
      </c>
      <c r="D47" s="10" t="inlineStr">
        <is>
          <t>Fotos #8–#9 — verde oliva/militar lavado</t>
        </is>
      </c>
    </row>
    <row r="48" ht="30" customHeight="1">
      <c r="A48" s="2" t="inlineStr">
        <is>
          <t>4 cores, todas fotografadas. Cor e desgaste variam peça a peça (efeito da lavagem) — o cliente final pode receber tom diferente da foto. Sem código de referência por cor.</t>
        </is>
      </c>
    </row>
    <row r="50">
      <c r="A50" s="27" t="inlineStr">
        <is>
          <t>5. Personalização (preço sempre sob orçamento)</t>
        </is>
      </c>
      <c r="B50" s="28" t="n"/>
      <c r="C50" s="28" t="n"/>
      <c r="D50" s="28" t="n"/>
      <c r="E50" s="28" t="n"/>
      <c r="F50" s="28" t="n"/>
    </row>
    <row r="51">
      <c r="A51" s="9" t="inlineStr">
        <is>
          <t>Técnica</t>
        </is>
      </c>
      <c r="B51" s="9" t="inlineStr">
        <is>
          <t>Detalhe</t>
        </is>
      </c>
      <c r="C51" s="9" t="inlineStr">
        <is>
          <t>Mínimo</t>
        </is>
      </c>
    </row>
    <row r="52">
      <c r="A52" s="10" t="inlineStr">
        <is>
          <t>Bordado</t>
        </is>
      </c>
      <c r="B52" s="10" t="inlineStr">
        <is>
          <t>Peito pequeno — 🟢 melhor opção; bordar DEPOIS da lavagem (peça pronta)</t>
        </is>
      </c>
      <c r="C52" s="10" t="inlineStr">
        <is>
          <t>20 pç</t>
        </is>
      </c>
    </row>
    <row r="53">
      <c r="A53" s="10" t="inlineStr">
        <is>
          <t>Silk base d'água</t>
        </is>
      </c>
      <c r="B53" s="14" t="inlineStr">
        <is>
          <t>⚠️ nervura + superfície lavada = impressão irregular; testar</t>
        </is>
      </c>
      <c r="C53" s="10" t="inlineStr">
        <is>
          <t>20 pç</t>
        </is>
      </c>
    </row>
    <row r="54">
      <c r="A54" s="10" t="inlineStr">
        <is>
          <t>DTF</t>
        </is>
      </c>
      <c r="B54" s="14" t="inlineStr">
        <is>
          <t>⚠️ filme sobre malha elástica e lavada tende a trincar/descolar; só peça-teste</t>
        </is>
      </c>
      <c r="C54" s="10" t="inlineStr">
        <is>
          <t>20 pç</t>
        </is>
      </c>
    </row>
    <row r="55">
      <c r="A55" s="10" t="inlineStr">
        <is>
          <t>Estampa ANTES da estonagem</t>
        </is>
      </c>
      <c r="B55" s="14" t="inlineStr">
        <is>
          <t>⚠️ Não fazer: pedras e lavagem desgastam e soltam a tinta (salvo efeito 'vintage' intencional, com teste)</t>
        </is>
      </c>
      <c r="C55" s="10" t="inlineStr">
        <is>
          <t>—</t>
        </is>
      </c>
    </row>
    <row r="56">
      <c r="A56" s="10" t="inlineStr">
        <is>
          <t>Etiqueta private label</t>
        </is>
      </c>
      <c r="B56" s="10" t="inlineStr">
        <is>
          <t>Interna + tag</t>
        </is>
      </c>
      <c r="C56" s="10" t="inlineStr">
        <is>
          <t>20 pç</t>
        </is>
      </c>
    </row>
    <row r="57">
      <c r="A57" s="10" t="inlineStr">
        <is>
          <t>Preço</t>
        </is>
      </c>
      <c r="B57" s="10" t="inlineStr">
        <is>
          <t>Sob orçamento</t>
        </is>
      </c>
      <c r="C57" s="10" t="inlineStr">
        <is>
          <t>—</t>
        </is>
      </c>
    </row>
    <row r="59">
      <c r="A59" s="27" t="inlineStr">
        <is>
          <t>6. Preços do fornecedor (desconto progressivo)</t>
        </is>
      </c>
      <c r="B59" s="28" t="n"/>
      <c r="C59" s="28" t="n"/>
      <c r="D59" s="28" t="n"/>
      <c r="E59" s="28" t="n"/>
      <c r="F59" s="28" t="n"/>
    </row>
    <row r="60">
      <c r="A60" s="24" t="inlineStr">
        <is>
          <t>Preço base (R$)</t>
        </is>
      </c>
      <c r="B60" s="31" t="n">
        <v>23.99</v>
      </c>
    </row>
    <row r="61">
      <c r="A61" s="17" t="inlineStr">
        <is>
          <t>Faixa</t>
        </is>
      </c>
      <c r="B61" s="17" t="inlineStr">
        <is>
          <t>Peças</t>
        </is>
      </c>
      <c r="C61" s="17" t="inlineStr">
        <is>
          <t>Desconto</t>
        </is>
      </c>
      <c r="D61" s="17" t="inlineStr">
        <is>
          <t>Preço unitário</t>
        </is>
      </c>
      <c r="E61" s="17" t="inlineStr">
        <is>
          <t>Preço + Pix</t>
        </is>
      </c>
    </row>
    <row r="62">
      <c r="A62" s="18" t="inlineStr">
        <is>
          <t>Faixa 1</t>
        </is>
      </c>
      <c r="B62" s="18" t="inlineStr">
        <is>
          <t>20–40</t>
        </is>
      </c>
      <c r="C62" s="32">
        <f>'Regras Fornecedor'!$D$4</f>
        <v/>
      </c>
      <c r="D62" s="33">
        <f>ROUND($B$60*(1-C62),2)</f>
        <v/>
      </c>
      <c r="E62" s="34">
        <f>ROUND(D62*(1-'Regras Fornecedor'!$B$10),2)</f>
        <v/>
      </c>
    </row>
    <row r="63">
      <c r="A63" s="18" t="inlineStr">
        <is>
          <t>Faixa 2</t>
        </is>
      </c>
      <c r="B63" s="18" t="inlineStr">
        <is>
          <t>40–80</t>
        </is>
      </c>
      <c r="C63" s="32">
        <f>'Regras Fornecedor'!$D$5</f>
        <v/>
      </c>
      <c r="D63" s="33">
        <f>ROUND($B$60*(1-C63),2)</f>
        <v/>
      </c>
      <c r="E63" s="34">
        <f>ROUND(D63*(1-'Regras Fornecedor'!$B$10),2)</f>
        <v/>
      </c>
    </row>
    <row r="64">
      <c r="A64" s="18" t="inlineStr">
        <is>
          <t>Faixa 3</t>
        </is>
      </c>
      <c r="B64" s="18" t="inlineStr">
        <is>
          <t>80–100</t>
        </is>
      </c>
      <c r="C64" s="32">
        <f>'Regras Fornecedor'!$D$6</f>
        <v/>
      </c>
      <c r="D64" s="33">
        <f>ROUND($B$60*(1-C64),2)</f>
        <v/>
      </c>
      <c r="E64" s="34">
        <f>ROUND(D64*(1-'Regras Fornecedor'!$B$10),2)</f>
        <v/>
      </c>
    </row>
    <row r="65">
      <c r="A65" s="18" t="inlineStr">
        <is>
          <t>Faixa 4</t>
        </is>
      </c>
      <c r="B65" s="18" t="inlineStr">
        <is>
          <t>100–300</t>
        </is>
      </c>
      <c r="C65" s="32">
        <f>'Regras Fornecedor'!$D$7</f>
        <v/>
      </c>
      <c r="D65" s="33">
        <f>ROUND($B$60*(1-C65),2)</f>
        <v/>
      </c>
      <c r="E65" s="34">
        <f>ROUND(D65*(1-'Regras Fornecedor'!$B$10),2)</f>
        <v/>
      </c>
    </row>
    <row r="66">
      <c r="A66" s="18" t="inlineStr">
        <is>
          <t>Faixa 5</t>
        </is>
      </c>
      <c r="B66" s="18" t="inlineStr">
        <is>
          <t>300–999</t>
        </is>
      </c>
      <c r="C66" s="32">
        <f>'Regras Fornecedor'!$D$8</f>
        <v/>
      </c>
      <c r="D66" s="33">
        <f>ROUND($B$60*(1-C66),2)</f>
        <v/>
      </c>
      <c r="E66" s="34">
        <f>ROUND(D66*(1-'Regras Fornecedor'!$B$10),2)</f>
        <v/>
      </c>
    </row>
    <row r="68">
      <c r="A68" s="27" t="inlineStr">
        <is>
          <t>7. Custo HMZT e margem (lote de 20 peças, Pix)</t>
        </is>
      </c>
      <c r="B68" s="28" t="n"/>
      <c r="C68" s="28" t="n"/>
      <c r="D68" s="28" t="n"/>
      <c r="E68" s="28" t="n"/>
      <c r="F68" s="28" t="n"/>
    </row>
    <row r="69">
      <c r="A69" s="24" t="inlineStr">
        <is>
          <t>Peça (20 pç, Pix)</t>
        </is>
      </c>
      <c r="B69" s="35">
        <f>E62</f>
        <v/>
      </c>
    </row>
    <row r="70">
      <c r="A70" s="24" t="inlineStr">
        <is>
          <t>Personalização + etiqueta + tag (R$/pç)</t>
        </is>
      </c>
      <c r="B70" s="36" t="n">
        <v>8</v>
      </c>
      <c r="C70" s="15" t="inlineStr">
        <is>
          <t>Estimativa HMZT — trocar pelo orçamento real</t>
        </is>
      </c>
    </row>
    <row r="71">
      <c r="A71" s="24" t="inlineStr">
        <is>
          <t>Frete rateado + embalagem (R$/pç)</t>
        </is>
      </c>
      <c r="B71" s="36" t="n">
        <v>4</v>
      </c>
      <c r="C71" s="15" t="inlineStr">
        <is>
          <t>Estimativa HMZT — trocar pelo orçamento real</t>
        </is>
      </c>
    </row>
    <row r="72">
      <c r="A72" s="24" t="inlineStr">
        <is>
          <t>Custo unitário estimado</t>
        </is>
      </c>
      <c r="B72" s="37">
        <f>SUM(B69:B71)</f>
        <v/>
      </c>
    </row>
    <row r="73">
      <c r="A73" s="24" t="inlineStr">
        <is>
          <t>Preço de venda HMZT (R$)</t>
        </is>
      </c>
      <c r="B73" s="36" t="n">
        <v>99</v>
      </c>
      <c r="C73" s="15" t="inlineStr">
        <is>
          <t>Sugestão do dossiê — ajustar</t>
        </is>
      </c>
    </row>
    <row r="74">
      <c r="A74" s="24" t="inlineStr">
        <is>
          <t>Impostos + gateway (% do preço)</t>
        </is>
      </c>
      <c r="B74" s="38" t="n">
        <v>0</v>
      </c>
      <c r="C74" s="15" t="inlineStr">
        <is>
          <t>A preencher (Simples + taxa Asaas)</t>
        </is>
      </c>
    </row>
    <row r="75">
      <c r="A75" s="24" t="inlineStr">
        <is>
          <t>Margem bruta (R$)</t>
        </is>
      </c>
      <c r="B75" s="35">
        <f>B73-B72</f>
        <v/>
      </c>
    </row>
    <row r="76">
      <c r="A76" s="24" t="inlineStr">
        <is>
          <t>Margem bruta (%)</t>
        </is>
      </c>
      <c r="B76" s="39">
        <f>IF(B73=0,0,(B73-B72)/B73)</f>
        <v/>
      </c>
    </row>
    <row r="77">
      <c r="A77" s="24" t="inlineStr">
        <is>
          <t>Margem após impostos/gateway (%)</t>
        </is>
      </c>
      <c r="B77" s="39">
        <f>IF(B73=0,0,(B73*(1-B74)-B72)/B73)</f>
        <v/>
      </c>
      <c r="C77" s="15" t="inlineStr">
        <is>
          <t>Ainda sem frete ao cliente e mídia</t>
        </is>
      </c>
    </row>
    <row r="79">
      <c r="A79" s="27" t="inlineStr">
        <is>
          <t>8. Contradições e erros ⚠️</t>
        </is>
      </c>
      <c r="B79" s="28" t="n"/>
      <c r="C79" s="28" t="n"/>
      <c r="D79" s="28" t="n"/>
      <c r="E79" s="28" t="n"/>
      <c r="F79" s="28" t="n"/>
    </row>
    <row r="80">
      <c r="A80" s="8" t="inlineStr">
        <is>
          <t>⚠️ Preço invertido: a estonada (R$ 23,99) custa MENOS que a lisa P23 (R$ 24,99), apesar de ter uma etapa extra de lavanderia.</t>
        </is>
      </c>
    </row>
    <row r="81">
      <c r="A81" s="8" t="inlineStr">
        <is>
          <t>⚠️ 'Toque peletizado' não é termo técnico claro — 'peletizado' costuma remeter a bolinhas (pilling). Pedir explicação; não usar.</t>
        </is>
      </c>
    </row>
    <row r="82">
      <c r="A82" s="8" t="inlineStr">
        <is>
          <t>⚠️ 'Nenhuma unidade é igual à outra' (📣 como charme) = ⚠️ risco no e-commerce: a foto não garante o tom recebido.</t>
        </is>
      </c>
    </row>
    <row r="83">
      <c r="A83" s="8" t="inlineStr">
        <is>
          <t>⚠️ Estoque: 'Esse acabou' na página + resumo 'envio em até 24h' + FAQ diz que reposição demora.</t>
        </is>
      </c>
    </row>
    <row r="84">
      <c r="A84" s="8" t="inlineStr">
        <is>
          <t>⚠️ Nome da cor 'Bordô' não bate com a foto (malva/ameixa claro desbotado).</t>
        </is>
      </c>
    </row>
    <row r="85">
      <c r="A85" s="8" t="inlineStr">
        <is>
          <t>⚠️ Mesmo erro técnico da P23 sobre 'carreiras' na definição de 2/1.</t>
        </is>
      </c>
    </row>
    <row r="86">
      <c r="A86" s="8" t="inlineStr">
        <is>
          <t>⚠️ 'A concorrência não tem esse acabamento' — alegação sem prova; regata canelada estonada é comum no mercado.</t>
        </is>
      </c>
    </row>
    <row r="88">
      <c r="A88" s="27" t="inlineStr">
        <is>
          <t>9. Comunicação HMZT</t>
        </is>
      </c>
      <c r="B88" s="28" t="n"/>
      <c r="C88" s="28" t="n"/>
      <c r="D88" s="28" t="n"/>
      <c r="E88" s="28" t="n"/>
      <c r="F88" s="28" t="n"/>
    </row>
    <row r="89">
      <c r="A89" s="24" t="inlineStr">
        <is>
          <t>✅ Pode usar</t>
        </is>
      </c>
      <c r="D89" s="24" t="inlineStr">
        <is>
          <t>📣 / ⛔ Não usar</t>
        </is>
      </c>
    </row>
    <row r="90">
      <c r="A90" s="40" t="inlineStr">
        <is>
          <t>"Malha canelada 2/1, 100% algodão, lavada com pedras (stone wash)."</t>
        </is>
      </c>
      <c r="D90" s="8" t="inlineStr">
        <is>
          <t>📣 "Toque peletizado ultra macio".</t>
        </is>
      </c>
    </row>
    <row r="91">
      <c r="A91" s="40" t="inlineStr">
        <is>
          <t>"Efeito vintage — cada peça tem um desgaste único." (com aviso de variação de tom)</t>
        </is>
      </c>
      <c r="D91" s="8" t="inlineStr">
        <is>
          <t>📣 "Aparência de marca de boutique", "a concorrência não tem".</t>
        </is>
      </c>
    </row>
    <row r="92">
      <c r="A92" s="40" t="inlineStr">
        <is>
          <t>"Pré-encolhida no processo de lavanderia."</t>
        </is>
      </c>
      <c r="D92" s="8" t="inlineStr">
        <is>
          <t>📣 "Recompra garantida", "fideliza", "quem compra uma cor volta pelas outras".</t>
        </is>
      </c>
    </row>
    <row r="93">
      <c r="A93" s="40" t="inlineStr">
        <is>
          <t>"Modelagem slim, ajustada ao corpo."</t>
        </is>
      </c>
      <c r="D93" s="8" t="inlineStr">
        <is>
          <t>📣 "Encolhimento zero" (usar 'pré-encolhida').</t>
        </is>
      </c>
    </row>
    <row r="94">
      <c r="A94" s="40" t="inlineStr">
        <is>
          <t>"Fabricada em Santa Catarina."</t>
        </is>
      </c>
      <c r="D94" s="8" t="inlineStr">
        <is>
          <t>📣 "Blinda a margem", "margem de moda premium".</t>
        </is>
      </c>
    </row>
    <row r="96">
      <c r="A96" s="27" t="inlineStr">
        <is>
          <t>10. Pendências com o fornecedor</t>
        </is>
      </c>
      <c r="B96" s="28" t="n"/>
      <c r="C96" s="28" t="n"/>
      <c r="D96" s="28" t="n"/>
      <c r="E96" s="28" t="n"/>
      <c r="F96" s="28" t="n"/>
    </row>
    <row r="97">
      <c r="A97" s="9" t="inlineStr">
        <is>
          <t>Pendência</t>
        </is>
      </c>
      <c r="B97" s="9" t="inlineStr">
        <is>
          <t>Status</t>
        </is>
      </c>
      <c r="C97" s="9" t="inlineStr">
        <is>
          <t>Responsável</t>
        </is>
      </c>
      <c r="D97" s="9" t="inlineStr">
        <is>
          <t>Resposta</t>
        </is>
      </c>
    </row>
    <row r="98">
      <c r="A98" s="10" t="inlineStr">
        <is>
          <t>Gramatura e fio (é a mesma malha da P23?)</t>
        </is>
      </c>
      <c r="B98" s="11" t="inlineStr">
        <is>
          <t>Aberta</t>
        </is>
      </c>
      <c r="C98" s="11" t="inlineStr"/>
      <c r="D98" s="11" t="inlineStr"/>
    </row>
    <row r="99">
      <c r="A99" s="10" t="inlineStr">
        <is>
          <t>Reposição e prazo de lavanderia</t>
        </is>
      </c>
      <c r="B99" s="11" t="inlineStr">
        <is>
          <t>Aberta</t>
        </is>
      </c>
      <c r="C99" s="11" t="inlineStr"/>
      <c r="D99" s="11" t="inlineStr"/>
    </row>
    <row r="100">
      <c r="A100" s="10" t="inlineStr">
        <is>
          <t>Faixa de variação de tom aceitável por lote (pedir amostra de 2–3 peças da mesma cor)</t>
        </is>
      </c>
      <c r="B100" s="11" t="inlineStr">
        <is>
          <t>Aberta</t>
        </is>
      </c>
      <c r="C100" s="11" t="inlineStr"/>
      <c r="D100" s="11" t="inlineStr"/>
    </row>
    <row r="101">
      <c r="A101" s="10" t="inlineStr">
        <is>
          <t>Explicar 'toque peletizado'</t>
        </is>
      </c>
      <c r="B101" s="11" t="inlineStr">
        <is>
          <t>Aberta</t>
        </is>
      </c>
      <c r="C101" s="11" t="inlineStr"/>
      <c r="D101" s="11" t="inlineStr"/>
    </row>
    <row r="102">
      <c r="A102" s="10" t="inlineStr">
        <is>
          <t>Por que custa menos que a lisa?</t>
        </is>
      </c>
      <c r="B102" s="11" t="inlineStr">
        <is>
          <t>Aberta</t>
        </is>
      </c>
      <c r="C102" s="11" t="inlineStr"/>
      <c r="D102" s="11" t="inlineStr"/>
    </row>
    <row r="103">
      <c r="A103" s="10" t="inlineStr">
        <is>
          <t>Orçamento de bordado pós-lavagem + etiqueta</t>
        </is>
      </c>
      <c r="B103" s="11" t="inlineStr">
        <is>
          <t>Aberta</t>
        </is>
      </c>
      <c r="C103" s="11" t="inlineStr"/>
      <c r="D103" s="11" t="inlineStr"/>
    </row>
    <row r="105">
      <c r="A105" s="27" t="inlineStr">
        <is>
          <t>11. Fluxo de prompts de lookbook (docs/shop-confeccao/prompts/P24-prompts.md)</t>
        </is>
      </c>
      <c r="B105" s="28" t="n"/>
      <c r="C105" s="28" t="n"/>
      <c r="D105" s="28" t="n"/>
      <c r="E105" s="28" t="n"/>
      <c r="F105" s="28" t="n"/>
    </row>
    <row r="106">
      <c r="A106" s="9" t="inlineStr">
        <is>
          <t>Foto</t>
        </is>
      </c>
      <c r="B106" s="9" t="inlineStr">
        <is>
          <t>Origem no print</t>
        </is>
      </c>
      <c r="C106" s="9" t="inlineStr">
        <is>
          <t>Formato</t>
        </is>
      </c>
      <c r="D106" s="9" t="inlineStr">
        <is>
          <t>Status</t>
        </is>
      </c>
    </row>
    <row r="107">
      <c r="A107" s="10" t="inlineStr">
        <is>
          <t>F1 — 3/4 olhar para fora</t>
        </is>
      </c>
      <c r="B107" s="10" t="inlineStr">
        <is>
          <t>Origem: foto #1 (azul, corpo levemente 3/4, rosto virado)</t>
        </is>
      </c>
      <c r="C107" s="10" t="inlineStr">
        <is>
          <t>4:5</t>
        </is>
      </c>
      <c r="D107" s="11" t="inlineStr">
        <is>
          <t>A gerar</t>
        </is>
      </c>
    </row>
    <row r="108">
      <c r="A108" s="10" t="inlineStr">
        <is>
          <t>F2 — Detalhe gola lavada</t>
        </is>
      </c>
      <c r="B108" s="10" t="inlineStr">
        <is>
          <t>Origem: foto #2 (azul, recorte dos lábios ao peito)</t>
        </is>
      </c>
      <c r="C108" s="10" t="inlineStr">
        <is>
          <t>4:5</t>
        </is>
      </c>
      <c r="D108" s="11" t="inlineStr">
        <is>
          <t>A gerar</t>
        </is>
      </c>
    </row>
    <row r="109">
      <c r="A109" s="10" t="inlineStr">
        <is>
          <t>F3 — Frontal, cabeça inclinada</t>
        </is>
      </c>
      <c r="B109" s="10" t="inlineStr">
        <is>
          <t>Origem: foto #3 (cinza, frontal, olhar na câmera)</t>
        </is>
      </c>
      <c r="C109" s="10" t="inlineStr">
        <is>
          <t>4:5</t>
        </is>
      </c>
      <c r="D109" s="11" t="inlineStr">
        <is>
          <t>A gerar</t>
        </is>
      </c>
    </row>
    <row r="110">
      <c r="A110" s="10" t="inlineStr">
        <is>
          <t>F4 — Frontal olhar lateral</t>
        </is>
      </c>
      <c r="B110" s="10" t="inlineStr">
        <is>
          <t>Origem: foto #4 (cinza, rosto para a direita da câmera)</t>
        </is>
      </c>
      <c r="C110" s="10" t="inlineStr">
        <is>
          <t>4:5</t>
        </is>
      </c>
      <c r="D110" s="11" t="inlineStr">
        <is>
          <t>A gerar</t>
        </is>
      </c>
    </row>
    <row r="111">
      <c r="A111" s="10" t="inlineStr">
        <is>
          <t>F5 — Detalhe cava e ombro</t>
        </is>
      </c>
      <c r="B111" s="10" t="inlineStr">
        <is>
          <t>Origem: foto #5 (cinza, recorte do nariz ao peito)</t>
        </is>
      </c>
      <c r="C111" s="10" t="inlineStr">
        <is>
          <t>4:5</t>
        </is>
      </c>
      <c r="D111" s="11" t="inlineStr">
        <is>
          <t>A gerar</t>
        </is>
      </c>
    </row>
    <row r="112">
      <c r="A112" s="10" t="inlineStr">
        <is>
          <t>F6 — Frontal mãos nos bolsos</t>
        </is>
      </c>
      <c r="B112" s="10" t="inlineStr">
        <is>
          <t>Origem: foto #6 (bordô/malva, frontal)</t>
        </is>
      </c>
      <c r="C112" s="10" t="inlineStr">
        <is>
          <t>4:5</t>
        </is>
      </c>
      <c r="D112" s="11" t="inlineStr">
        <is>
          <t>A gerar</t>
        </is>
      </c>
    </row>
    <row r="113">
      <c r="A113" s="10" t="inlineStr">
        <is>
          <t>F7 — Detalhe gola (malva)</t>
        </is>
      </c>
      <c r="B113" s="10" t="inlineStr">
        <is>
          <t>Origem: foto #7 (bordô/malva, recorte dos lábios ao peito)</t>
        </is>
      </c>
      <c r="C113" s="10" t="inlineStr">
        <is>
          <t>4:5</t>
        </is>
      </c>
      <c r="D113" s="11" t="inlineStr">
        <is>
          <t>A gerar</t>
        </is>
      </c>
    </row>
    <row r="114">
      <c r="A114" s="10" t="inlineStr">
        <is>
          <t>F8 — Frontal segurando a barra</t>
        </is>
      </c>
      <c r="B114" s="10" t="inlineStr">
        <is>
          <t>Origem: foto #8 (verde, frontal, mão na barra)</t>
        </is>
      </c>
      <c r="C114" s="10" t="inlineStr">
        <is>
          <t>4:5</t>
        </is>
      </c>
      <c r="D114" s="11" t="inlineStr">
        <is>
          <t>A gerar</t>
        </is>
      </c>
    </row>
    <row r="115">
      <c r="A115" s="10" t="inlineStr">
        <is>
          <t>F9 — Detalhe gola (verde)</t>
        </is>
      </c>
      <c r="B115" s="10" t="inlineStr">
        <is>
          <t>Origem: foto #9 (verde, recorte do nariz ao peito)</t>
        </is>
      </c>
      <c r="C115" s="10" t="inlineStr">
        <is>
          <t>4:5</t>
        </is>
      </c>
      <c r="D115" s="11" t="inlineStr">
        <is>
          <t>A gerar</t>
        </is>
      </c>
    </row>
  </sheetData>
  <mergeCells count="43">
    <mergeCell ref="B4:F4"/>
    <mergeCell ref="A90:C90"/>
    <mergeCell ref="B7:F7"/>
    <mergeCell ref="A84:F84"/>
    <mergeCell ref="A80:F80"/>
    <mergeCell ref="B30:E30"/>
    <mergeCell ref="B15:E15"/>
    <mergeCell ref="B24:E24"/>
    <mergeCell ref="B20:E20"/>
    <mergeCell ref="D91:F91"/>
    <mergeCell ref="A86:F86"/>
    <mergeCell ref="B26:E26"/>
    <mergeCell ref="A85:F85"/>
    <mergeCell ref="B11:F11"/>
    <mergeCell ref="D93:F93"/>
    <mergeCell ref="B16:E16"/>
    <mergeCell ref="B25:E25"/>
    <mergeCell ref="A91:C91"/>
    <mergeCell ref="B8:F8"/>
    <mergeCell ref="D92:F92"/>
    <mergeCell ref="B22:E22"/>
    <mergeCell ref="A81:F81"/>
    <mergeCell ref="B18:E18"/>
    <mergeCell ref="B27:E27"/>
    <mergeCell ref="A93:C93"/>
    <mergeCell ref="B10:F10"/>
    <mergeCell ref="D94:F94"/>
    <mergeCell ref="B21:E21"/>
    <mergeCell ref="A83:F83"/>
    <mergeCell ref="A92:C92"/>
    <mergeCell ref="A48:F48"/>
    <mergeCell ref="A39:F39"/>
    <mergeCell ref="B9:F9"/>
    <mergeCell ref="B17:E17"/>
    <mergeCell ref="B23:E23"/>
    <mergeCell ref="A82:F82"/>
    <mergeCell ref="D90:F90"/>
    <mergeCell ref="B6:F6"/>
    <mergeCell ref="A94:C94"/>
    <mergeCell ref="B5:F5"/>
    <mergeCell ref="B29:E29"/>
    <mergeCell ref="B19:E19"/>
    <mergeCell ref="B28:E28"/>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22"/>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P25 — Calça Moletom 3 Cabos 320g Felpada Confort Fit</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HMZT-P25-CNF-MOL320</t>
        </is>
      </c>
    </row>
    <row r="5">
      <c r="A5" s="24" t="inlineStr">
        <is>
          <t>Fornecedor</t>
        </is>
      </c>
      <c r="B5" s="2" t="inlineStr">
        <is>
          <t>Lunfe Malhas — fabricação própria, Itajaí-SC</t>
        </is>
      </c>
    </row>
    <row r="6">
      <c r="A6" s="24" t="inlineStr">
        <is>
          <t>Referência</t>
        </is>
      </c>
      <c r="B6" s="2" t="inlineStr">
        <is>
          <t>7893697799578 (EAN-13)</t>
        </is>
      </c>
    </row>
    <row r="7">
      <c r="A7" s="24" t="inlineStr">
        <is>
          <t>URL</t>
        </is>
      </c>
      <c r="B7" s="2" t="inlineStr">
        <is>
          <t>lunfemalhas.com.br/calca-moletom-3-cabos-320g-felpada-atacado-lunfe</t>
        </is>
      </c>
    </row>
    <row r="8">
      <c r="A8" s="24" t="inlineStr">
        <is>
          <t>Categoria no site</t>
        </is>
      </c>
      <c r="B8" s="2" t="inlineStr">
        <is>
          <t>Inverno</t>
        </is>
      </c>
    </row>
    <row r="9">
      <c r="A9" s="24" t="inlineStr">
        <is>
          <t>Linha HMZT recomendada</t>
        </is>
      </c>
      <c r="B9" s="2" t="inlineStr">
        <is>
          <t>Inverno Heavy — conjunto com o moletom P26 (calça avulsa como complemento)</t>
        </is>
      </c>
    </row>
    <row r="10">
      <c r="A10" s="24" t="inlineStr">
        <is>
          <t>Estoque</t>
        </is>
      </c>
      <c r="B10" s="8" t="inlineStr">
        <is>
          <t>⚠️ 'Disponibilidade: Imediata' e 'Esse acabou' na mesma página; FAQ: '4 cores em estoque, despacho 24h'</t>
        </is>
      </c>
    </row>
    <row r="11">
      <c r="A11" s="24" t="inlineStr">
        <is>
          <t>Descritor canônico (IA)</t>
        </is>
      </c>
      <c r="B11" s="2" t="inlineStr">
        <is>
          <t>Calça de moletom masculina confort/jogger em moletom 3 cabos 320 g, felpado por dentro, cós largo com elástico e cordão cru, falsa braguilha pespontada, bolsos laterais inclinados, recorte frontal até o joelho, perna afunilada terminando em punho de ribana no tornozelo. Fosca, encorpada. Peça lisa.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50% algodão + 50% poliéster</t>
        </is>
      </c>
      <c r="C15" s="29" t="n"/>
      <c r="D15" s="29" t="n"/>
      <c r="E15" s="30" t="n"/>
    </row>
    <row r="16">
      <c r="A16" s="10" t="inlineStr">
        <is>
          <t>Construção</t>
        </is>
      </c>
      <c r="B16" s="10" t="inlineStr">
        <is>
          <t>Moletom 3 cabos (triple ply) com felpado interno</t>
        </is>
      </c>
      <c r="C16" s="29" t="n"/>
      <c r="D16" s="29" t="n"/>
      <c r="E16" s="30" t="n"/>
    </row>
    <row r="17">
      <c r="A17" s="10" t="inlineStr">
        <is>
          <t>Gramatura</t>
        </is>
      </c>
      <c r="B17" s="10" t="inlineStr">
        <is>
          <t>320 g/m² (heavyweight)</t>
        </is>
      </c>
      <c r="C17" s="29" t="n"/>
      <c r="D17" s="29" t="n"/>
      <c r="E17" s="30" t="n"/>
    </row>
    <row r="18">
      <c r="A18" s="10" t="inlineStr">
        <is>
          <t>Modelagem</t>
        </is>
      </c>
      <c r="B18" s="10" t="inlineStr">
        <is>
          <t>Confort fit 'levemente solta' — nas fotos: jogger com perna afunilada</t>
        </is>
      </c>
      <c r="C18" s="29" t="n"/>
      <c r="D18" s="29" t="n"/>
      <c r="E18" s="30" t="n"/>
    </row>
    <row r="19">
      <c r="A19" s="10" t="inlineStr">
        <is>
          <t>Cintura</t>
        </is>
      </c>
      <c r="B19" s="10" t="inlineStr">
        <is>
          <t>Elástica embutida em cós largo + cordão cru de ajuste (saída por 2 ilhoses)</t>
        </is>
      </c>
      <c r="C19" s="29" t="n"/>
      <c r="D19" s="29" t="n"/>
      <c r="E19" s="30" t="n"/>
    </row>
    <row r="20">
      <c r="A20" s="10" t="inlineStr">
        <is>
          <t>Bolsos</t>
        </is>
      </c>
      <c r="B20" s="10" t="inlineStr">
        <is>
          <t>Laterais funcionais (profundidade para celular); sem bolso traseiro visível nas fotos</t>
        </is>
      </c>
      <c r="C20" s="29" t="n"/>
      <c r="D20" s="29" t="n"/>
      <c r="E20" s="30" t="n"/>
    </row>
    <row r="21">
      <c r="A21" s="10" t="inlineStr">
        <is>
          <t>Barra</t>
        </is>
      </c>
      <c r="B21" s="10" t="inlineStr">
        <is>
          <t>Punho em ribana canelada</t>
        </is>
      </c>
      <c r="C21" s="29" t="n"/>
      <c r="D21" s="29" t="n"/>
      <c r="E21" s="30" t="n"/>
    </row>
    <row r="22">
      <c r="A22" s="10" t="inlineStr">
        <is>
          <t>Detalhes vistos nas fotos</t>
        </is>
      </c>
      <c r="B22" s="10" t="inlineStr">
        <is>
          <t>Falsa braguilha pespontada; recorte frontal do bolso ao joelho + recorte de joelho</t>
        </is>
      </c>
      <c r="C22" s="29" t="n"/>
      <c r="D22" s="29" t="n"/>
      <c r="E22" s="30" t="n"/>
    </row>
    <row r="23">
      <c r="A23" s="10" t="inlineStr">
        <is>
          <t>Acabamentos</t>
        </is>
      </c>
      <c r="B23" s="10" t="inlineStr">
        <is>
          <t>Costuras reforçadas; overlock nas costuras internas</t>
        </is>
      </c>
      <c r="C23" s="29" t="n"/>
      <c r="D23" s="29" t="n"/>
      <c r="E23" s="30" t="n"/>
    </row>
    <row r="24">
      <c r="A24" s="10" t="inlineStr">
        <is>
          <t>Tratamentos</t>
        </is>
      </c>
      <c r="B24" s="10" t="inlineStr">
        <is>
          <t>Pré-encolhimento industrial; fixação de cor de alta solidez</t>
        </is>
      </c>
      <c r="C24" s="29" t="n"/>
      <c r="D24" s="29" t="n"/>
      <c r="E24" s="30" t="n"/>
    </row>
    <row r="25">
      <c r="A25" s="10" t="inlineStr">
        <is>
          <t>Opacidade</t>
        </is>
      </c>
      <c r="B25" s="10" t="inlineStr">
        <is>
          <t>'100% opaca em qualquer posição e cor'</t>
        </is>
      </c>
      <c r="C25" s="29" t="n"/>
      <c r="D25" s="29" t="n"/>
      <c r="E25" s="30" t="n"/>
    </row>
    <row r="26">
      <c r="A26" s="10" t="inlineStr">
        <is>
          <t>Joelho</t>
        </is>
      </c>
      <c r="B26" s="10" t="inlineStr">
        <is>
          <t>'Resiste ao embolsamento'</t>
        </is>
      </c>
      <c r="C26" s="29" t="n"/>
      <c r="D26" s="29" t="n"/>
      <c r="E26" s="30" t="n"/>
    </row>
    <row r="27">
      <c r="A27" s="10" t="inlineStr">
        <is>
          <t>Térmica</t>
        </is>
      </c>
      <c r="B27" s="10" t="inlineStr">
        <is>
          <t>'Isolamento térmico real', 'inverno pesado'</t>
        </is>
      </c>
      <c r="C27" s="29" t="n"/>
      <c r="D27" s="29" t="n"/>
      <c r="E27" s="30" t="n"/>
    </row>
    <row r="28">
      <c r="A28" s="10" t="inlineStr">
        <is>
          <t>Tamanhos</t>
        </is>
      </c>
      <c r="B28" s="10" t="inlineStr">
        <is>
          <t>P ao GG (4) — sem EG</t>
        </is>
      </c>
      <c r="C28" s="29" t="n"/>
      <c r="D28" s="29" t="n"/>
      <c r="E28" s="30" t="n"/>
    </row>
    <row r="29">
      <c r="A29" s="10" t="inlineStr">
        <is>
          <t>Produção</t>
        </is>
      </c>
      <c r="B29" s="10" t="inlineStr">
        <is>
          <t>Fabricação própria — Itajaí-SC</t>
        </is>
      </c>
      <c r="C29" s="29" t="n"/>
      <c r="D29" s="29" t="n"/>
      <c r="E29" s="30" t="n"/>
    </row>
    <row r="30">
      <c r="A30" s="10" t="inlineStr">
        <is>
          <t>Modelo das fotos</t>
        </is>
      </c>
      <c r="B30" s="10" t="inlineStr">
        <is>
          <t>1,84 m · 84 kg · veste M (fotos sem rosto)</t>
        </is>
      </c>
      <c r="C30" s="29" t="n"/>
      <c r="D30" s="29" t="n"/>
      <c r="E30" s="30" t="n"/>
    </row>
    <row r="32">
      <c r="A32" s="27" t="inlineStr">
        <is>
          <t>3. Tabela de medidas (cm)</t>
        </is>
      </c>
      <c r="B32" s="28" t="n"/>
      <c r="C32" s="28" t="n"/>
      <c r="D32" s="28" t="n"/>
      <c r="E32" s="28" t="n"/>
      <c r="F32" s="28" t="n"/>
    </row>
    <row r="33">
      <c r="A33" s="9" t="inlineStr">
        <is>
          <t>Tamanho</t>
        </is>
      </c>
      <c r="B33" s="9" t="inlineStr">
        <is>
          <t>Cintura (relaxada)</t>
        </is>
      </c>
      <c r="C33" s="9" t="inlineStr">
        <is>
          <t>Quadril</t>
        </is>
      </c>
      <c r="D33" s="9" t="inlineStr">
        <is>
          <t>Comprimento</t>
        </is>
      </c>
      <c r="E33" s="9" t="inlineStr">
        <is>
          <t>Barra</t>
        </is>
      </c>
    </row>
    <row r="34">
      <c r="A34" s="10" t="inlineStr">
        <is>
          <t>P</t>
        </is>
      </c>
      <c r="B34" s="11" t="n">
        <v>36</v>
      </c>
      <c r="C34" s="11" t="n">
        <v>50</v>
      </c>
      <c r="D34" s="11" t="n">
        <v>100</v>
      </c>
      <c r="E34" s="11" t="n">
        <v>16</v>
      </c>
    </row>
    <row r="35">
      <c r="A35" s="10" t="inlineStr">
        <is>
          <t>M</t>
        </is>
      </c>
      <c r="B35" s="11" t="n">
        <v>39</v>
      </c>
      <c r="C35" s="11" t="n">
        <v>53</v>
      </c>
      <c r="D35" s="11" t="n">
        <v>103</v>
      </c>
      <c r="E35" s="11" t="n">
        <v>17</v>
      </c>
    </row>
    <row r="36">
      <c r="A36" s="10" t="inlineStr">
        <is>
          <t>G</t>
        </is>
      </c>
      <c r="B36" s="11" t="n">
        <v>42</v>
      </c>
      <c r="C36" s="11" t="n">
        <v>56</v>
      </c>
      <c r="D36" s="11" t="n">
        <v>106</v>
      </c>
      <c r="E36" s="11" t="n">
        <v>18</v>
      </c>
    </row>
    <row r="37">
      <c r="A37" s="10" t="inlineStr">
        <is>
          <t>GG</t>
        </is>
      </c>
      <c r="B37" s="11" t="n">
        <v>45</v>
      </c>
      <c r="C37" s="11" t="n">
        <v>59</v>
      </c>
      <c r="D37" s="11" t="n">
        <v>109</v>
      </c>
      <c r="E37" s="11" t="n">
        <v>19</v>
      </c>
    </row>
    <row r="38" ht="30" customHeight="1">
      <c r="A38" s="8" t="inlineStr">
        <is>
          <t>⚠️ Em cm, ± 2 cm. Cintura medida com elástico relaxado, em meia-volta (M 39 ≈ 78 cm de volta); cordão dá ± 3 cm. Quadril e barra também em meia-volta (M: quadril ≈ 106 cm, punho ≈ 34 cm). Comprimento = lateral total. FALTAM gancho (dianteiro/traseiro), entreperna, coxa e joelho — sem eles o provador online fica fraco. Sem tamanho EG, enquanto o moletom P26 vai até EG.</t>
        </is>
      </c>
    </row>
    <row r="39">
      <c r="A39" s="15" t="inlineStr">
        <is>
          <t>Modelo das fotos: 1,84 m · 84 kg · veste M</t>
        </is>
      </c>
    </row>
    <row r="41">
      <c r="A41" s="27" t="inlineStr">
        <is>
          <t>4. Cores disponíveis</t>
        </is>
      </c>
      <c r="B41" s="28" t="n"/>
      <c r="C41" s="28" t="n"/>
      <c r="D41" s="28" t="n"/>
      <c r="E41" s="28" t="n"/>
      <c r="F41" s="28" t="n"/>
    </row>
    <row r="42">
      <c r="A42" s="9" t="inlineStr">
        <is>
          <t>Cor</t>
        </is>
      </c>
      <c r="B42" s="9" t="inlineStr">
        <is>
          <t>Código HMZT</t>
        </is>
      </c>
      <c r="C42" s="9" t="inlineStr">
        <is>
          <t>Ref. fornecedor</t>
        </is>
      </c>
      <c r="D42" s="9" t="inlineStr">
        <is>
          <t>Observação</t>
        </is>
      </c>
    </row>
    <row r="43">
      <c r="A43" s="10" t="inlineStr">
        <is>
          <t>Preto</t>
        </is>
      </c>
      <c r="B43" s="10" t="inlineStr">
        <is>
          <t>PRT</t>
        </is>
      </c>
      <c r="C43" s="10" t="inlineStr">
        <is>
          <t>CML-PRT</t>
        </is>
      </c>
      <c r="D43" s="10" t="inlineStr">
        <is>
          <t>Fotos #1–#4</t>
        </is>
      </c>
    </row>
    <row r="44">
      <c r="A44" s="10" t="inlineStr">
        <is>
          <t>Marinho</t>
        </is>
      </c>
      <c r="B44" s="10" t="inlineStr">
        <is>
          <t>MAR</t>
        </is>
      </c>
      <c r="C44" s="10" t="inlineStr">
        <is>
          <t>CML-MRN</t>
        </is>
      </c>
      <c r="D44" s="10" t="inlineStr">
        <is>
          <t>Fotos #7–#9</t>
        </is>
      </c>
    </row>
    <row r="45">
      <c r="A45" s="10" t="inlineStr">
        <is>
          <t>Bege</t>
        </is>
      </c>
      <c r="B45" s="10" t="inlineStr">
        <is>
          <t>BGE</t>
        </is>
      </c>
      <c r="C45" s="10" t="inlineStr">
        <is>
          <t>CML-BGE</t>
        </is>
      </c>
      <c r="D45" s="10" t="inlineStr">
        <is>
          <t>Fotos #5–#6 — ⚠️ nas fotos é caramelo/mostarda-camelo, bem mais saturado que 'bege'</t>
        </is>
      </c>
    </row>
    <row r="46">
      <c r="A46" s="10" t="inlineStr">
        <is>
          <t>Chumbo</t>
        </is>
      </c>
      <c r="B46" s="10" t="inlineStr">
        <is>
          <t>CHU</t>
        </is>
      </c>
      <c r="C46" s="10" t="inlineStr">
        <is>
          <t>CML-CHM</t>
        </is>
      </c>
      <c r="D46" s="10" t="inlineStr">
        <is>
          <t>Sem foto</t>
        </is>
      </c>
    </row>
    <row r="47" ht="30" customHeight="1">
      <c r="A47" s="2" t="inlineStr">
        <is>
          <t>4 cores com referência do fornecedor. ⚠️ O texto diz que as cores 'coincidem com a grade do Moletom Gola Careca 3 Cabos' — mas o P26 tem Preto, Branco, Marinho, Vermelho, Terracota e Azul Claro. Só Preto e Marinho formam conjunto de verdade.</t>
        </is>
      </c>
    </row>
    <row r="49">
      <c r="A49" s="27" t="inlineStr">
        <is>
          <t>5. Personalização (preço sempre sob orçamento)</t>
        </is>
      </c>
      <c r="B49" s="28" t="n"/>
      <c r="C49" s="28" t="n"/>
      <c r="D49" s="28" t="n"/>
      <c r="E49" s="28" t="n"/>
      <c r="F49" s="28" t="n"/>
    </row>
    <row r="50">
      <c r="A50" s="9" t="inlineStr">
        <is>
          <t>Técnica</t>
        </is>
      </c>
      <c r="B50" s="9" t="inlineStr">
        <is>
          <t>Detalhe</t>
        </is>
      </c>
      <c r="C50" s="9" t="inlineStr">
        <is>
          <t>Mínimo</t>
        </is>
      </c>
    </row>
    <row r="51">
      <c r="A51" s="10" t="inlineStr">
        <is>
          <t>Bordado</t>
        </is>
      </c>
      <c r="B51" s="10" t="inlineStr">
        <is>
          <t>Cintura frontal (logo pequeno) — 🟢 recomendado; lateral da perna</t>
        </is>
      </c>
      <c r="C51" s="10" t="inlineStr">
        <is>
          <t>20 pç</t>
        </is>
      </c>
    </row>
    <row r="52">
      <c r="A52" s="10" t="inlineStr">
        <is>
          <t>Silk</t>
        </is>
      </c>
      <c r="B52" s="10" t="inlineStr">
        <is>
          <t>Lateral da perna — ⚠️ texto cita 'bolso traseiro', que não aparece nas fotos</t>
        </is>
      </c>
      <c r="C52" s="10" t="inlineStr">
        <is>
          <t>20 pç</t>
        </is>
      </c>
    </row>
    <row r="53">
      <c r="A53" s="10" t="inlineStr">
        <is>
          <t>DTF</t>
        </is>
      </c>
      <c r="B53" s="10" t="inlineStr">
        <is>
          <t>Full color, lateral da perna</t>
        </is>
      </c>
      <c r="C53" s="10" t="inlineStr">
        <is>
          <t>20 pç</t>
        </is>
      </c>
    </row>
    <row r="54">
      <c r="A54" s="10" t="inlineStr">
        <is>
          <t>Etiqueta private label</t>
        </is>
      </c>
      <c r="B54" s="10" t="inlineStr">
        <is>
          <t>Interna + tag externa na cintura</t>
        </is>
      </c>
      <c r="C54" s="10" t="inlineStr">
        <is>
          <t>20 pç</t>
        </is>
      </c>
    </row>
    <row r="55">
      <c r="A55" s="10" t="inlineStr">
        <is>
          <t>Embalagem customizada</t>
        </is>
      </c>
      <c r="B55" s="10" t="inlineStr">
        <is>
          <t>Conjunto moletom + calça</t>
        </is>
      </c>
      <c r="C55" s="10" t="inlineStr">
        <is>
          <t>50 pç</t>
        </is>
      </c>
    </row>
    <row r="56">
      <c r="A56" s="10" t="inlineStr">
        <is>
          <t>Cor Pantone</t>
        </is>
      </c>
      <c r="B56" s="10" t="inlineStr">
        <is>
          <t>Tingimento exclusivo, 15–25 dias úteis</t>
        </is>
      </c>
      <c r="C56" s="10" t="inlineStr">
        <is>
          <t>100 pç/cor</t>
        </is>
      </c>
    </row>
    <row r="57">
      <c r="A57" s="10" t="inlineStr">
        <is>
          <t>Preço</t>
        </is>
      </c>
      <c r="B57" s="10" t="inlineStr">
        <is>
          <t>Toda personalização sob orçamento</t>
        </is>
      </c>
      <c r="C57" s="10" t="inlineStr">
        <is>
          <t>—</t>
        </is>
      </c>
    </row>
    <row r="59">
      <c r="A59" s="27" t="inlineStr">
        <is>
          <t>6. Preços do fornecedor (desconto progressivo)</t>
        </is>
      </c>
      <c r="B59" s="28" t="n"/>
      <c r="C59" s="28" t="n"/>
      <c r="D59" s="28" t="n"/>
      <c r="E59" s="28" t="n"/>
      <c r="F59" s="28" t="n"/>
    </row>
    <row r="60">
      <c r="A60" s="24" t="inlineStr">
        <is>
          <t>Preço base (R$)</t>
        </is>
      </c>
      <c r="B60" s="31" t="n">
        <v>58.5</v>
      </c>
    </row>
    <row r="61">
      <c r="A61" s="17" t="inlineStr">
        <is>
          <t>Faixa</t>
        </is>
      </c>
      <c r="B61" s="17" t="inlineStr">
        <is>
          <t>Peças</t>
        </is>
      </c>
      <c r="C61" s="17" t="inlineStr">
        <is>
          <t>Desconto</t>
        </is>
      </c>
      <c r="D61" s="17" t="inlineStr">
        <is>
          <t>Preço unitário</t>
        </is>
      </c>
      <c r="E61" s="17" t="inlineStr">
        <is>
          <t>Preço + Pix</t>
        </is>
      </c>
    </row>
    <row r="62">
      <c r="A62" s="18" t="inlineStr">
        <is>
          <t>Faixa 1</t>
        </is>
      </c>
      <c r="B62" s="18" t="inlineStr">
        <is>
          <t>20–40</t>
        </is>
      </c>
      <c r="C62" s="32">
        <f>'Regras Fornecedor'!$D$4</f>
        <v/>
      </c>
      <c r="D62" s="33">
        <f>ROUND($B$60*(1-C62),2)</f>
        <v/>
      </c>
      <c r="E62" s="34">
        <f>ROUND(D62*(1-'Regras Fornecedor'!$B$10),2)</f>
        <v/>
      </c>
    </row>
    <row r="63">
      <c r="A63" s="18" t="inlineStr">
        <is>
          <t>Faixa 2</t>
        </is>
      </c>
      <c r="B63" s="18" t="inlineStr">
        <is>
          <t>40–80</t>
        </is>
      </c>
      <c r="C63" s="32">
        <f>'Regras Fornecedor'!$D$5</f>
        <v/>
      </c>
      <c r="D63" s="33">
        <f>ROUND($B$60*(1-C63),2)</f>
        <v/>
      </c>
      <c r="E63" s="34">
        <f>ROUND(D63*(1-'Regras Fornecedor'!$B$10),2)</f>
        <v/>
      </c>
    </row>
    <row r="64">
      <c r="A64" s="18" t="inlineStr">
        <is>
          <t>Faixa 3</t>
        </is>
      </c>
      <c r="B64" s="18" t="inlineStr">
        <is>
          <t>80–100</t>
        </is>
      </c>
      <c r="C64" s="32">
        <f>'Regras Fornecedor'!$D$6</f>
        <v/>
      </c>
      <c r="D64" s="33">
        <f>ROUND($B$60*(1-C64),2)</f>
        <v/>
      </c>
      <c r="E64" s="34">
        <f>ROUND(D64*(1-'Regras Fornecedor'!$B$10),2)</f>
        <v/>
      </c>
    </row>
    <row r="65">
      <c r="A65" s="18" t="inlineStr">
        <is>
          <t>Faixa 4</t>
        </is>
      </c>
      <c r="B65" s="18" t="inlineStr">
        <is>
          <t>100–300</t>
        </is>
      </c>
      <c r="C65" s="32">
        <f>'Regras Fornecedor'!$D$7</f>
        <v/>
      </c>
      <c r="D65" s="33">
        <f>ROUND($B$60*(1-C65),2)</f>
        <v/>
      </c>
      <c r="E65" s="34">
        <f>ROUND(D65*(1-'Regras Fornecedor'!$B$10),2)</f>
        <v/>
      </c>
    </row>
    <row r="66">
      <c r="A66" s="18" t="inlineStr">
        <is>
          <t>Faixa 5</t>
        </is>
      </c>
      <c r="B66" s="18" t="inlineStr">
        <is>
          <t>300–999</t>
        </is>
      </c>
      <c r="C66" s="32">
        <f>'Regras Fornecedor'!$D$8</f>
        <v/>
      </c>
      <c r="D66" s="33">
        <f>ROUND($B$60*(1-C66),2)</f>
        <v/>
      </c>
      <c r="E66" s="34">
        <f>ROUND(D66*(1-'Regras Fornecedor'!$B$10),2)</f>
        <v/>
      </c>
    </row>
    <row r="68">
      <c r="A68" s="27" t="inlineStr">
        <is>
          <t>7. Custo HMZT e margem (lote de 20 peças, Pix)</t>
        </is>
      </c>
      <c r="B68" s="28" t="n"/>
      <c r="C68" s="28" t="n"/>
      <c r="D68" s="28" t="n"/>
      <c r="E68" s="28" t="n"/>
      <c r="F68" s="28" t="n"/>
    </row>
    <row r="69">
      <c r="A69" s="24" t="inlineStr">
        <is>
          <t>Peça (20 pç, Pix)</t>
        </is>
      </c>
      <c r="B69" s="35">
        <f>E62</f>
        <v/>
      </c>
    </row>
    <row r="70">
      <c r="A70" s="24" t="inlineStr">
        <is>
          <t>Personalização + etiqueta + tag (R$/pç)</t>
        </is>
      </c>
      <c r="B70" s="36" t="n">
        <v>9</v>
      </c>
      <c r="C70" s="15" t="inlineStr">
        <is>
          <t>Estimativa HMZT — trocar pelo orçamento real</t>
        </is>
      </c>
    </row>
    <row r="71">
      <c r="A71" s="24" t="inlineStr">
        <is>
          <t>Frete rateado + embalagem (R$/pç)</t>
        </is>
      </c>
      <c r="B71" s="36" t="n">
        <v>7</v>
      </c>
      <c r="C71" s="15" t="inlineStr">
        <is>
          <t>Estimativa HMZT — trocar pelo orçamento real</t>
        </is>
      </c>
    </row>
    <row r="72">
      <c r="A72" s="24" t="inlineStr">
        <is>
          <t>Custo unitário estimado</t>
        </is>
      </c>
      <c r="B72" s="37">
        <f>SUM(B69:B71)</f>
        <v/>
      </c>
    </row>
    <row r="73">
      <c r="A73" s="24" t="inlineStr">
        <is>
          <t>Preço de venda HMZT (R$)</t>
        </is>
      </c>
      <c r="B73" s="36" t="n">
        <v>179</v>
      </c>
      <c r="C73" s="15" t="inlineStr">
        <is>
          <t>Sugestão do dossiê — ajustar</t>
        </is>
      </c>
    </row>
    <row r="74">
      <c r="A74" s="24" t="inlineStr">
        <is>
          <t>Impostos + gateway (% do preço)</t>
        </is>
      </c>
      <c r="B74" s="38" t="n">
        <v>0</v>
      </c>
      <c r="C74" s="15" t="inlineStr">
        <is>
          <t>A preencher (Simples + taxa Asaas)</t>
        </is>
      </c>
    </row>
    <row r="75">
      <c r="A75" s="24" t="inlineStr">
        <is>
          <t>Margem bruta (R$)</t>
        </is>
      </c>
      <c r="B75" s="35">
        <f>B73-B72</f>
        <v/>
      </c>
    </row>
    <row r="76">
      <c r="A76" s="24" t="inlineStr">
        <is>
          <t>Margem bruta (%)</t>
        </is>
      </c>
      <c r="B76" s="39">
        <f>IF(B73=0,0,(B73-B72)/B73)</f>
        <v/>
      </c>
    </row>
    <row r="77">
      <c r="A77" s="24" t="inlineStr">
        <is>
          <t>Margem após impostos/gateway (%)</t>
        </is>
      </c>
      <c r="B77" s="39">
        <f>IF(B73=0,0,(B73*(1-B74)-B72)/B73)</f>
        <v/>
      </c>
      <c r="C77" s="15" t="inlineStr">
        <is>
          <t>Ainda sem frete ao cliente e mídia</t>
        </is>
      </c>
    </row>
    <row r="79">
      <c r="A79" s="27" t="inlineStr">
        <is>
          <t>8. Contradições e erros ⚠️</t>
        </is>
      </c>
      <c r="B79" s="28" t="n"/>
      <c r="C79" s="28" t="n"/>
      <c r="D79" s="28" t="n"/>
      <c r="E79" s="28" t="n"/>
      <c r="F79" s="28" t="n"/>
    </row>
    <row r="80">
      <c r="A80" s="8" t="inlineStr">
        <is>
          <t>⚠️ Estoque: 'Disponibilidade: Imediata' + 'Esse acabou' na mesma página.</t>
        </is>
      </c>
    </row>
    <row r="81">
      <c r="A81" s="8" t="inlineStr">
        <is>
          <t>⚠️ Cores 'coincidem com o Moletom Gola Careca' — falso: calça = Preto, Marinho, Bege, Chumbo; moletom P26 = Preto, Branco, Marinho, Vermelho, Terracota, Azul Claro. Só 2 cores formam conjunto.</t>
        </is>
      </c>
    </row>
    <row r="82">
      <c r="A82" s="8" t="inlineStr">
        <is>
          <t>⚠️ Grade: calça P–GG (4) × moletom P–EG (5). Cliente EG não fecha conjunto.</t>
        </is>
      </c>
    </row>
    <row r="83">
      <c r="A83" s="8" t="inlineStr">
        <is>
          <t>⚠️ Tabela de preço com arredondamento para baixo: 40–80 pç mostra R$ 49,72 (conta dá R$ 49,73) e 100–300 mostra R$ 43,87 (conta dá R$ 43,88).</t>
        </is>
      </c>
    </row>
    <row r="84">
      <c r="A84" s="8" t="inlineStr">
        <is>
          <t>⚠️ 'Margem de 2,5× a 3,5×' — pelas próprias contas do fornecedor (R$ 279–399 ÷ R$ 82,25) dá 3,4× a 4,9×. Números soltos.</t>
        </is>
      </c>
    </row>
    <row r="85">
      <c r="A85" s="8" t="inlineStr">
        <is>
          <t>⚠️ '3 cabos = três fios torcidos juntos antes da tecelagem' — errado: moletom é MALHA (não tecelagem) e '3 cabos' se refere a três sistemas de fio na malharia (face, ligação e felpa), não a um fio retorcido.</t>
        </is>
      </c>
    </row>
    <row r="86">
      <c r="A86" s="8" t="inlineStr">
        <is>
          <t>⚠️ 'Não é jogger' — as fotos mostram jogger afunilada com punho. É confort/jogger, não reta.</t>
        </is>
      </c>
    </row>
    <row r="87">
      <c r="A87" s="8" t="inlineStr">
        <is>
          <t>⚠️ Personalização cita 'bolso traseiro'; ficha técnica e fotos só mostram bolsos laterais.</t>
        </is>
      </c>
    </row>
    <row r="88">
      <c r="A88" s="8" t="inlineStr">
        <is>
          <t>⚠️ Nome da cor 'Bege' × foto caramelo.</t>
        </is>
      </c>
    </row>
    <row r="89">
      <c r="A89" s="8" t="inlineStr">
        <is>
          <t>⚠️ Fotos com tênis de marca (três listras) — não usar as fotos do fornecedor na hmzt.shop.</t>
        </is>
      </c>
    </row>
    <row r="91">
      <c r="A91" s="27" t="inlineStr">
        <is>
          <t>9. Comunicação HMZT</t>
        </is>
      </c>
      <c r="B91" s="28" t="n"/>
      <c r="C91" s="28" t="n"/>
      <c r="D91" s="28" t="n"/>
      <c r="E91" s="28" t="n"/>
      <c r="F91" s="28" t="n"/>
    </row>
    <row r="92">
      <c r="A92" s="24" t="inlineStr">
        <is>
          <t>✅ Pode usar</t>
        </is>
      </c>
      <c r="D92" s="24" t="inlineStr">
        <is>
          <t>📣 / ⛔ Não usar</t>
        </is>
      </c>
    </row>
    <row r="93">
      <c r="A93" s="40" t="inlineStr">
        <is>
          <t>"Moletom 320 g/m², 50% algodão e 50% poliéster, felpado por dentro."</t>
        </is>
      </c>
      <c r="D93" s="8" t="inlineStr">
        <is>
          <t>📣 "Resolve os 5 maiores problemas de calça de moletom".</t>
        </is>
      </c>
    </row>
    <row r="94">
      <c r="A94" s="40" t="inlineStr">
        <is>
          <t>"Cós largo com elástico e cordão; bolsos laterais; punho em ribana no tornozelo."</t>
        </is>
      </c>
      <c r="D94" s="8" t="inlineStr">
        <is>
          <t>📣 "Menor taxa de devolução por ajuste", "reduz devoluções".</t>
        </is>
      </c>
    </row>
    <row r="95">
      <c r="A95" s="40" t="inlineStr">
        <is>
          <t>"Modelagem confort, levemente afunilada."</t>
        </is>
      </c>
      <c r="D95" s="8" t="inlineStr">
        <is>
          <t>📣 "Isolamento térmico real / inverno pesado / frio industrial" (sem ensaio).</t>
        </is>
      </c>
    </row>
    <row r="96">
      <c r="A96" s="40" t="inlineStr">
        <is>
          <t>"Mesma malha do moletom gola careca — conjunto no mesmo tom (Preto e Marinho)."</t>
        </is>
      </c>
      <c r="D96" s="8" t="inlineStr">
        <is>
          <t>📣 "Seca até 40% mais rápido".</t>
        </is>
      </c>
    </row>
    <row r="97">
      <c r="A97" s="40" t="inlineStr">
        <is>
          <t>"Fabricada em Santa Catarina."</t>
        </is>
      </c>
      <c r="D97" s="8" t="inlineStr">
        <is>
          <t>📣 "Dobra o ticket médio", "custo de aquisição cai pela metade", "cross-sell consistentemente alto".</t>
        </is>
      </c>
    </row>
    <row r="98">
      <c r="D98" s="8" t="inlineStr">
        <is>
          <t>📣 "Conjunto de inverno premium de R$ 279–399" como argumento de valor.</t>
        </is>
      </c>
    </row>
    <row r="99">
      <c r="D99" s="8" t="inlineStr">
        <is>
          <t>⚠️ Uniforme de câmara fria/frigorífico — exige EPI com CA; a HMZT não deve prometer.</t>
        </is>
      </c>
    </row>
    <row r="101">
      <c r="A101" s="27" t="inlineStr">
        <is>
          <t>10. Pendências com o fornecedor</t>
        </is>
      </c>
      <c r="B101" s="28" t="n"/>
      <c r="C101" s="28" t="n"/>
      <c r="D101" s="28" t="n"/>
      <c r="E101" s="28" t="n"/>
      <c r="F101" s="28" t="n"/>
    </row>
    <row r="102">
      <c r="A102" s="9" t="inlineStr">
        <is>
          <t>Pendência</t>
        </is>
      </c>
      <c r="B102" s="9" t="inlineStr">
        <is>
          <t>Status</t>
        </is>
      </c>
      <c r="C102" s="9" t="inlineStr">
        <is>
          <t>Responsável</t>
        </is>
      </c>
      <c r="D102" s="9" t="inlineStr">
        <is>
          <t>Resposta</t>
        </is>
      </c>
    </row>
    <row r="103">
      <c r="A103" s="10" t="inlineStr">
        <is>
          <t>Medidas de gancho dianteiro/traseiro, entreperna, coxa e joelho</t>
        </is>
      </c>
      <c r="B103" s="11" t="inlineStr">
        <is>
          <t>Aberta</t>
        </is>
      </c>
      <c r="C103" s="11" t="inlineStr"/>
      <c r="D103" s="11" t="inlineStr"/>
    </row>
    <row r="104">
      <c r="A104" s="10" t="inlineStr">
        <is>
          <t>Existe EG? (moletom tem)</t>
        </is>
      </c>
      <c r="B104" s="11" t="inlineStr">
        <is>
          <t>Aberta</t>
        </is>
      </c>
      <c r="C104" s="11" t="inlineStr"/>
      <c r="D104" s="11" t="inlineStr"/>
    </row>
    <row r="105">
      <c r="A105" s="10" t="inlineStr">
        <is>
          <t>Foto/amostra da cor Chumbo; confirmar se 'Bege' é o caramelo das fotos</t>
        </is>
      </c>
      <c r="B105" s="11" t="inlineStr">
        <is>
          <t>Aberta</t>
        </is>
      </c>
      <c r="C105" s="11" t="inlineStr"/>
      <c r="D105" s="11" t="inlineStr"/>
    </row>
    <row r="106">
      <c r="A106" s="10" t="inlineStr">
        <is>
          <t>Cores comuns com o P26 além de Preto e Marinho?</t>
        </is>
      </c>
      <c r="B106" s="11" t="inlineStr">
        <is>
          <t>Aberta</t>
        </is>
      </c>
      <c r="C106" s="11" t="inlineStr"/>
      <c r="D106" s="11" t="inlineStr"/>
    </row>
    <row r="107">
      <c r="A107" s="10" t="inlineStr">
        <is>
          <t>Largura do cós e se o elástico é embutido</t>
        </is>
      </c>
      <c r="B107" s="11" t="inlineStr">
        <is>
          <t>Aberta</t>
        </is>
      </c>
      <c r="C107" s="11" t="inlineStr"/>
      <c r="D107" s="11" t="inlineStr"/>
    </row>
    <row r="108">
      <c r="A108" s="10" t="inlineStr">
        <is>
          <t>Tem bolso traseiro?</t>
        </is>
      </c>
      <c r="B108" s="11" t="inlineStr">
        <is>
          <t>Aberta</t>
        </is>
      </c>
      <c r="C108" s="11" t="inlineStr"/>
      <c r="D108" s="11" t="inlineStr"/>
    </row>
    <row r="109">
      <c r="A109" s="10" t="inlineStr">
        <is>
          <t>Estoque real (página esgotada)</t>
        </is>
      </c>
      <c r="B109" s="11" t="inlineStr">
        <is>
          <t>Aberta</t>
        </is>
      </c>
      <c r="C109" s="11" t="inlineStr"/>
      <c r="D109" s="11" t="inlineStr"/>
    </row>
    <row r="110">
      <c r="A110" s="10" t="inlineStr">
        <is>
          <t>Orçamento: bordado cintura + etiqueta + embalagem de conjunto</t>
        </is>
      </c>
      <c r="B110" s="11" t="inlineStr">
        <is>
          <t>Aberta</t>
        </is>
      </c>
      <c r="C110" s="11" t="inlineStr"/>
      <c r="D110" s="11" t="inlineStr"/>
    </row>
    <row r="112">
      <c r="A112" s="27" t="inlineStr">
        <is>
          <t>11. Fluxo de prompts de lookbook (docs/shop-confeccao/prompts/P25-prompts.md)</t>
        </is>
      </c>
      <c r="B112" s="28" t="n"/>
      <c r="C112" s="28" t="n"/>
      <c r="D112" s="28" t="n"/>
      <c r="E112" s="28" t="n"/>
      <c r="F112" s="28" t="n"/>
    </row>
    <row r="113">
      <c r="A113" s="9" t="inlineStr">
        <is>
          <t>Foto</t>
        </is>
      </c>
      <c r="B113" s="9" t="inlineStr">
        <is>
          <t>Origem no print</t>
        </is>
      </c>
      <c r="C113" s="9" t="inlineStr">
        <is>
          <t>Formato</t>
        </is>
      </c>
      <c r="D113" s="9" t="inlineStr">
        <is>
          <t>Status</t>
        </is>
      </c>
    </row>
    <row r="114">
      <c r="A114" s="10" t="inlineStr">
        <is>
          <t>F1 — Frontal 3/4, mão no bolso</t>
        </is>
      </c>
      <c r="B114" s="10" t="inlineStr">
        <is>
          <t>Origem: foto #1 (preto, recorte do peito ao chão, camiseta cinza)</t>
        </is>
      </c>
      <c r="C114" s="10" t="inlineStr">
        <is>
          <t>4:5</t>
        </is>
      </c>
      <c r="D114" s="11" t="inlineStr">
        <is>
          <t>A gerar</t>
        </is>
      </c>
    </row>
    <row r="115">
      <c r="A115" s="10" t="inlineStr">
        <is>
          <t>F2 — Lateral em passo</t>
        </is>
      </c>
      <c r="B115" s="10" t="inlineStr">
        <is>
          <t>Origem: foto #2 (preto, 3/4 lateral, andando)</t>
        </is>
      </c>
      <c r="C115" s="10" t="inlineStr">
        <is>
          <t>4:5</t>
        </is>
      </c>
      <c r="D115" s="11" t="inlineStr">
        <is>
          <t>A gerar</t>
        </is>
      </c>
    </row>
    <row r="116">
      <c r="A116" s="10" t="inlineStr">
        <is>
          <t>F3 — Frontal, peso em uma perna</t>
        </is>
      </c>
      <c r="B116" s="10" t="inlineStr">
        <is>
          <t>Origem: foto #3 (preto, frontal)</t>
        </is>
      </c>
      <c r="C116" s="10" t="inlineStr">
        <is>
          <t>4:5</t>
        </is>
      </c>
      <c r="D116" s="11" t="inlineStr">
        <is>
          <t>A gerar</t>
        </is>
      </c>
    </row>
    <row r="117">
      <c r="A117" s="10" t="inlineStr">
        <is>
          <t>F4 — 3/4 cruzando a perna</t>
        </is>
      </c>
      <c r="B117" s="10" t="inlineStr">
        <is>
          <t>Origem: foto #4 (preto, 3/4, perna dianteira dobrada)</t>
        </is>
      </c>
      <c r="C117" s="10" t="inlineStr">
        <is>
          <t>4:5</t>
        </is>
      </c>
      <c r="D117" s="11" t="inlineStr">
        <is>
          <t>A gerar</t>
        </is>
      </c>
    </row>
    <row r="118">
      <c r="A118" s="10" t="inlineStr">
        <is>
          <t>F5 — Frontal a partir do cós</t>
        </is>
      </c>
      <c r="B118" s="10" t="inlineStr">
        <is>
          <t>Origem: foto #5 (bege/caramelo, frontal, sem camiseta — recorte começa no cós)</t>
        </is>
      </c>
      <c r="C118" s="10" t="inlineStr">
        <is>
          <t>4:5</t>
        </is>
      </c>
      <c r="D118" s="11" t="inlineStr">
        <is>
          <t>A gerar</t>
        </is>
      </c>
    </row>
    <row r="119">
      <c r="A119" s="10" t="inlineStr">
        <is>
          <t>F6 — 3/4 a partir do cós</t>
        </is>
      </c>
      <c r="B119" s="10" t="inlineStr">
        <is>
          <t>Origem: foto #6 (bege/caramelo, 3/4)</t>
        </is>
      </c>
      <c r="C119" s="10" t="inlineStr">
        <is>
          <t>4:5</t>
        </is>
      </c>
      <c r="D119" s="11" t="inlineStr">
        <is>
          <t>A gerar</t>
        </is>
      </c>
    </row>
    <row r="120">
      <c r="A120" s="10" t="inlineStr">
        <is>
          <t>F7 — Frontal marinho</t>
        </is>
      </c>
      <c r="B120" s="10" t="inlineStr">
        <is>
          <t>Origem: foto #7 (marinho, frontal, sem camiseta)</t>
        </is>
      </c>
      <c r="C120" s="10" t="inlineStr">
        <is>
          <t>4:5</t>
        </is>
      </c>
      <c r="D120" s="11" t="inlineStr">
        <is>
          <t>A gerar</t>
        </is>
      </c>
    </row>
    <row r="121">
      <c r="A121" s="10" t="inlineStr">
        <is>
          <t>F8 — 3/4 marinho em passo</t>
        </is>
      </c>
      <c r="B121" s="10" t="inlineStr">
        <is>
          <t>Origem: foto #8 (marinho, 3/4 com passo)</t>
        </is>
      </c>
      <c r="C121" s="10" t="inlineStr">
        <is>
          <t>4:5</t>
        </is>
      </c>
      <c r="D121" s="11" t="inlineStr">
        <is>
          <t>A gerar</t>
        </is>
      </c>
    </row>
    <row r="122">
      <c r="A122" s="10" t="inlineStr">
        <is>
          <t>F9 — Frontal, duas mãos nos bolsos</t>
        </is>
      </c>
      <c r="B122" s="10" t="inlineStr">
        <is>
          <t>Origem: foto #9 (marinho, frontal)</t>
        </is>
      </c>
      <c r="C122" s="10" t="inlineStr">
        <is>
          <t>4:5</t>
        </is>
      </c>
      <c r="D122" s="11" t="inlineStr">
        <is>
          <t>A gerar</t>
        </is>
      </c>
    </row>
  </sheetData>
  <mergeCells count="48">
    <mergeCell ref="B4:F4"/>
    <mergeCell ref="B7:F7"/>
    <mergeCell ref="A84:F84"/>
    <mergeCell ref="A80:F80"/>
    <mergeCell ref="B30:E30"/>
    <mergeCell ref="A89:F89"/>
    <mergeCell ref="B15:E15"/>
    <mergeCell ref="D97:F97"/>
    <mergeCell ref="B24:E24"/>
    <mergeCell ref="B20:E20"/>
    <mergeCell ref="A86:F86"/>
    <mergeCell ref="A95:C95"/>
    <mergeCell ref="B26:E26"/>
    <mergeCell ref="A47:F47"/>
    <mergeCell ref="A85:F85"/>
    <mergeCell ref="B11:F11"/>
    <mergeCell ref="D93:F93"/>
    <mergeCell ref="B16:E16"/>
    <mergeCell ref="A97:C97"/>
    <mergeCell ref="B25:E25"/>
    <mergeCell ref="B8:F8"/>
    <mergeCell ref="A96:C96"/>
    <mergeCell ref="B22:E22"/>
    <mergeCell ref="A81:F81"/>
    <mergeCell ref="A38:F38"/>
    <mergeCell ref="B18:E18"/>
    <mergeCell ref="B27:E27"/>
    <mergeCell ref="D98:F98"/>
    <mergeCell ref="A93:C93"/>
    <mergeCell ref="B10:F10"/>
    <mergeCell ref="D94:F94"/>
    <mergeCell ref="B21:E21"/>
    <mergeCell ref="A83:F83"/>
    <mergeCell ref="B9:F9"/>
    <mergeCell ref="B17:E17"/>
    <mergeCell ref="B23:E23"/>
    <mergeCell ref="A82:F82"/>
    <mergeCell ref="D99:F99"/>
    <mergeCell ref="B6:F6"/>
    <mergeCell ref="A94:C94"/>
    <mergeCell ref="B5:F5"/>
    <mergeCell ref="B29:E29"/>
    <mergeCell ref="A88:F88"/>
    <mergeCell ref="D96:F96"/>
    <mergeCell ref="B19:E19"/>
    <mergeCell ref="B28:E28"/>
    <mergeCell ref="A87:F87"/>
    <mergeCell ref="D95:F95"/>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2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P26 — Moletom Gola Careca 3 Cabos 320g Felpado</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HMZT-P26-REG-MOL320</t>
        </is>
      </c>
    </row>
    <row r="5">
      <c r="A5" s="24" t="inlineStr">
        <is>
          <t>Fornecedor</t>
        </is>
      </c>
      <c r="B5" s="2" t="inlineStr">
        <is>
          <t>Lunfe Malhas — fabricação própria, Itajaí-SC</t>
        </is>
      </c>
    </row>
    <row r="6">
      <c r="A6" s="24" t="inlineStr">
        <is>
          <t>Referência</t>
        </is>
      </c>
      <c r="B6" s="2" t="inlineStr">
        <is>
          <t>7891724180481 (EAN-13)</t>
        </is>
      </c>
    </row>
    <row r="7">
      <c r="A7" s="24" t="inlineStr">
        <is>
          <t>URL</t>
        </is>
      </c>
      <c r="B7" s="2" t="inlineStr">
        <is>
          <t>lunfemalhas.com.br/moletom-gola-careca-3-cabos-320g-atacado-lunfe</t>
        </is>
      </c>
    </row>
    <row r="8">
      <c r="A8" s="24" t="inlineStr">
        <is>
          <t>Categoria no site</t>
        </is>
      </c>
      <c r="B8" s="2" t="inlineStr">
        <is>
          <t>Inverno</t>
        </is>
      </c>
    </row>
    <row r="9">
      <c r="A9" s="24" t="inlineStr">
        <is>
          <t>Linha HMZT recomendada</t>
        </is>
      </c>
      <c r="B9" s="2" t="inlineStr">
        <is>
          <t>Inverno Heavy — moletom 320g (topo do inverno; conjunto com a calça P25)</t>
        </is>
      </c>
    </row>
    <row r="10">
      <c r="A10" s="24" t="inlineStr">
        <is>
          <t>Estoque</t>
        </is>
      </c>
      <c r="B10" s="2" t="inlineStr">
        <is>
          <t>🟢 Único da leva com seletor ativo: 6 cores na página + botão Comprar</t>
        </is>
      </c>
    </row>
    <row r="11">
      <c r="A11" s="24" t="inlineStr">
        <is>
          <t>Descritor canônico (IA)</t>
        </is>
      </c>
      <c r="B11" s="2" t="inlineStr">
        <is>
          <t>Moletom masculino gola careca regular fit em moletom 3 cabos 320 g, 50% algodão / 50% poliéster, felpado por dentro, face lisa e fosca. Gola em ribana reforçada de 3 cm, mangas set-in, punhos e barra larga em ribana canelada, sem capuz e sem bolso. Encorpado, estruturado. Peça lisa.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50% algodão + 50% poliéster</t>
        </is>
      </c>
      <c r="C15" s="29" t="n"/>
      <c r="D15" s="29" t="n"/>
      <c r="E15" s="30" t="n"/>
    </row>
    <row r="16">
      <c r="A16" s="10" t="inlineStr">
        <is>
          <t>Construção</t>
        </is>
      </c>
      <c r="B16" s="10" t="inlineStr">
        <is>
          <t>Moletom 3 cabos (triple ply) com felpado interno</t>
        </is>
      </c>
      <c r="C16" s="29" t="n"/>
      <c r="D16" s="29" t="n"/>
      <c r="E16" s="30" t="n"/>
    </row>
    <row r="17">
      <c r="A17" s="10" t="inlineStr">
        <is>
          <t>Gramatura</t>
        </is>
      </c>
      <c r="B17" s="10" t="inlineStr">
        <is>
          <t>320 g/m² (heavyweight)</t>
        </is>
      </c>
      <c r="C17" s="29" t="n"/>
      <c r="D17" s="29" t="n"/>
      <c r="E17" s="30" t="n"/>
    </row>
    <row r="18">
      <c r="A18" s="10" t="inlineStr">
        <is>
          <t>Modelagem</t>
        </is>
      </c>
      <c r="B18" s="10" t="inlineStr">
        <is>
          <t>Regular fit, sem capuz e sem bolso</t>
        </is>
      </c>
      <c r="C18" s="29" t="n"/>
      <c r="D18" s="29" t="n"/>
      <c r="E18" s="30" t="n"/>
    </row>
    <row r="19">
      <c r="A19" s="10" t="inlineStr">
        <is>
          <t>Gola</t>
        </is>
      </c>
      <c r="B19" s="10" t="inlineStr">
        <is>
          <t>Careca em ribana canelada reforçada, 3 cm</t>
        </is>
      </c>
      <c r="C19" s="29" t="n"/>
      <c r="D19" s="29" t="n"/>
      <c r="E19" s="30" t="n"/>
    </row>
    <row r="20">
      <c r="A20" s="10" t="inlineStr">
        <is>
          <t>Punhos</t>
        </is>
      </c>
      <c r="B20" s="10" t="inlineStr">
        <is>
          <t>Ribana canelada com elasticidade</t>
        </is>
      </c>
      <c r="C20" s="29" t="n"/>
      <c r="D20" s="29" t="n"/>
      <c r="E20" s="30" t="n"/>
    </row>
    <row r="21">
      <c r="A21" s="10" t="inlineStr">
        <is>
          <t>Barra</t>
        </is>
      </c>
      <c r="B21" s="10" t="inlineStr">
        <is>
          <t>Ribana canelada (faixa larga nas fotos)</t>
        </is>
      </c>
      <c r="C21" s="29" t="n"/>
      <c r="D21" s="29" t="n"/>
      <c r="E21" s="30" t="n"/>
    </row>
    <row r="22">
      <c r="A22" s="10" t="inlineStr">
        <is>
          <t>Mangas</t>
        </is>
      </c>
      <c r="B22" s="10" t="inlineStr">
        <is>
          <t>Set-in (costura no ombro)</t>
        </is>
      </c>
      <c r="C22" s="29" t="n"/>
      <c r="D22" s="29" t="n"/>
      <c r="E22" s="30" t="n"/>
    </row>
    <row r="23">
      <c r="A23" s="10" t="inlineStr">
        <is>
          <t>Acabamentos</t>
        </is>
      </c>
      <c r="B23" s="10" t="inlineStr">
        <is>
          <t>Costura reforçada; ombro a ombro com fita interna</t>
        </is>
      </c>
      <c r="C23" s="29" t="n"/>
      <c r="D23" s="29" t="n"/>
      <c r="E23" s="30" t="n"/>
    </row>
    <row r="24">
      <c r="A24" s="10" t="inlineStr">
        <is>
          <t>Tratamentos</t>
        </is>
      </c>
      <c r="B24" s="10" t="inlineStr">
        <is>
          <t>Pré-encolhimento industrial; fixação de cor de alta solidez</t>
        </is>
      </c>
      <c r="C24" s="29" t="n"/>
      <c r="D24" s="29" t="n"/>
      <c r="E24" s="30" t="n"/>
    </row>
    <row r="25">
      <c r="A25" s="10" t="inlineStr">
        <is>
          <t>Térmica</t>
        </is>
      </c>
      <c r="B25" s="10" t="inlineStr">
        <is>
          <t>'Barreira térmica real', 'abaixo de 15 °C', 'câmara fria'</t>
        </is>
      </c>
      <c r="C25" s="29" t="n"/>
      <c r="D25" s="29" t="n"/>
      <c r="E25" s="30" t="n"/>
    </row>
    <row r="26">
      <c r="A26" s="10" t="inlineStr">
        <is>
          <t>Cuidados</t>
        </is>
      </c>
      <c r="B26" s="10" t="inlineStr">
        <is>
          <t>Lavar pelo avesso a 30 °C; secar à sombra</t>
        </is>
      </c>
      <c r="C26" s="29" t="n"/>
      <c r="D26" s="29" t="n"/>
      <c r="E26" s="30" t="n"/>
    </row>
    <row r="27">
      <c r="A27" s="10" t="inlineStr">
        <is>
          <t>Tamanhos</t>
        </is>
      </c>
      <c r="B27" s="10" t="inlineStr">
        <is>
          <t>P ao EG (5)</t>
        </is>
      </c>
      <c r="C27" s="29" t="n"/>
      <c r="D27" s="29" t="n"/>
      <c r="E27" s="30" t="n"/>
    </row>
    <row r="28">
      <c r="A28" s="10" t="inlineStr">
        <is>
          <t>Produção</t>
        </is>
      </c>
      <c r="B28" s="10" t="inlineStr">
        <is>
          <t>Fabricação própria — Itajaí-SC</t>
        </is>
      </c>
      <c r="C28" s="29" t="n"/>
      <c r="D28" s="29" t="n"/>
      <c r="E28" s="30" t="n"/>
    </row>
    <row r="29">
      <c r="A29" s="10" t="inlineStr">
        <is>
          <t>Modelo das fotos</t>
        </is>
      </c>
      <c r="B29" s="10" t="inlineStr">
        <is>
          <t>1,84 m · 84 kg · veste M</t>
        </is>
      </c>
      <c r="C29" s="29" t="n"/>
      <c r="D29" s="29" t="n"/>
      <c r="E29" s="30" t="n"/>
    </row>
    <row r="31">
      <c r="A31" s="27" t="inlineStr">
        <is>
          <t>3. Tabela de medidas (cm)</t>
        </is>
      </c>
      <c r="B31" s="28" t="n"/>
      <c r="C31" s="28" t="n"/>
      <c r="D31" s="28" t="n"/>
      <c r="E31" s="28" t="n"/>
      <c r="F31" s="28" t="n"/>
    </row>
    <row r="32">
      <c r="A32" s="9" t="inlineStr">
        <is>
          <t>Tamanho</t>
        </is>
      </c>
      <c r="B32" s="9" t="inlineStr">
        <is>
          <t>Comprimento</t>
        </is>
      </c>
      <c r="C32" s="9" t="inlineStr">
        <is>
          <t>Largura</t>
        </is>
      </c>
      <c r="D32" s="9" t="inlineStr">
        <is>
          <t>Ombros</t>
        </is>
      </c>
      <c r="E32" s="9" t="inlineStr">
        <is>
          <t>Mangas</t>
        </is>
      </c>
    </row>
    <row r="33">
      <c r="A33" s="10" t="inlineStr">
        <is>
          <t>P</t>
        </is>
      </c>
      <c r="B33" s="11" t="n">
        <v>70</v>
      </c>
      <c r="C33" s="11" t="n">
        <v>52</v>
      </c>
      <c r="D33" s="11" t="n">
        <v>44</v>
      </c>
      <c r="E33" s="11" t="n">
        <v>60</v>
      </c>
    </row>
    <row r="34">
      <c r="A34" s="10" t="inlineStr">
        <is>
          <t>M</t>
        </is>
      </c>
      <c r="B34" s="11" t="n">
        <v>72</v>
      </c>
      <c r="C34" s="11" t="n">
        <v>54</v>
      </c>
      <c r="D34" s="11" t="n">
        <v>46</v>
      </c>
      <c r="E34" s="11" t="n">
        <v>62</v>
      </c>
    </row>
    <row r="35">
      <c r="A35" s="10" t="inlineStr">
        <is>
          <t>G</t>
        </is>
      </c>
      <c r="B35" s="11" t="n">
        <v>74</v>
      </c>
      <c r="C35" s="11" t="n">
        <v>56</v>
      </c>
      <c r="D35" s="11" t="n">
        <v>48</v>
      </c>
      <c r="E35" s="11" t="n">
        <v>64</v>
      </c>
    </row>
    <row r="36">
      <c r="A36" s="10" t="inlineStr">
        <is>
          <t>GG</t>
        </is>
      </c>
      <c r="B36" s="11" t="n">
        <v>76</v>
      </c>
      <c r="C36" s="11" t="n">
        <v>58</v>
      </c>
      <c r="D36" s="11" t="n">
        <v>50</v>
      </c>
      <c r="E36" s="11" t="n">
        <v>66</v>
      </c>
    </row>
    <row r="37">
      <c r="A37" s="10" t="inlineStr">
        <is>
          <t>EG</t>
        </is>
      </c>
      <c r="B37" s="11" t="n">
        <v>78</v>
      </c>
      <c r="C37" s="11" t="n">
        <v>60</v>
      </c>
      <c r="D37" s="11" t="n">
        <v>52</v>
      </c>
      <c r="E37" s="11" t="n">
        <v>68</v>
      </c>
    </row>
    <row r="38" ht="30" customHeight="1">
      <c r="A38" s="2" t="inlineStr">
        <is>
          <t>Em cm, ± 2 cm. Manga medida do ombro até o fim do punho de ribana. Corpo = mesma grade das camisetas regulares (M 72 × 54, ombro 46). ⚠️ Faltam altura da barra e do punho de ribana (nas fotos ≈ 6–7 cm) e largura do punho.</t>
        </is>
      </c>
    </row>
    <row r="39">
      <c r="A39" s="15" t="inlineStr">
        <is>
          <t>Modelo das fotos: 1,84 m · 84 kg · veste M</t>
        </is>
      </c>
    </row>
    <row r="41">
      <c r="A41" s="27" t="inlineStr">
        <is>
          <t>4. Cores disponíveis</t>
        </is>
      </c>
      <c r="B41" s="28" t="n"/>
      <c r="C41" s="28" t="n"/>
      <c r="D41" s="28" t="n"/>
      <c r="E41" s="28" t="n"/>
      <c r="F41" s="28" t="n"/>
    </row>
    <row r="42">
      <c r="A42" s="9" t="inlineStr">
        <is>
          <t>Cor</t>
        </is>
      </c>
      <c r="B42" s="9" t="inlineStr">
        <is>
          <t>Código HMZT</t>
        </is>
      </c>
      <c r="C42" s="9" t="inlineStr">
        <is>
          <t>Ref. fornecedor</t>
        </is>
      </c>
      <c r="D42" s="9" t="inlineStr">
        <is>
          <t>Observação</t>
        </is>
      </c>
    </row>
    <row r="43">
      <c r="A43" s="10" t="inlineStr">
        <is>
          <t>Preto</t>
        </is>
      </c>
      <c r="B43" s="10" t="inlineStr">
        <is>
          <t>PRT</t>
        </is>
      </c>
      <c r="C43" s="10" t="inlineStr">
        <is>
          <t>MOL-3C-PRT</t>
        </is>
      </c>
      <c r="D43" s="10" t="inlineStr">
        <is>
          <t>Fotos #1–#3</t>
        </is>
      </c>
    </row>
    <row r="44">
      <c r="A44" s="10" t="inlineStr">
        <is>
          <t>Branco</t>
        </is>
      </c>
      <c r="B44" s="10" t="inlineStr">
        <is>
          <t>BRA</t>
        </is>
      </c>
      <c r="C44" s="10" t="inlineStr">
        <is>
          <t>MOL-3C-BRA</t>
        </is>
      </c>
      <c r="D44" s="10" t="inlineStr">
        <is>
          <t>Fotos #11–#13 — lê como off-white/cru, não branco óptico</t>
        </is>
      </c>
    </row>
    <row r="45">
      <c r="A45" s="10" t="inlineStr">
        <is>
          <t>Azul Marinho</t>
        </is>
      </c>
      <c r="B45" s="10" t="inlineStr">
        <is>
          <t>MAR</t>
        </is>
      </c>
      <c r="C45" s="10" t="inlineStr">
        <is>
          <t>MOL-3C-MRN</t>
        </is>
      </c>
      <c r="D45" s="10" t="inlineStr">
        <is>
          <t>Fotos #14–#15</t>
        </is>
      </c>
    </row>
    <row r="46">
      <c r="A46" s="10" t="inlineStr">
        <is>
          <t>Vermelho</t>
        </is>
      </c>
      <c r="B46" s="10" t="inlineStr">
        <is>
          <t>VRM</t>
        </is>
      </c>
      <c r="C46" s="10" t="inlineStr">
        <is>
          <t>MOL-3C-VER</t>
        </is>
      </c>
      <c r="D46" s="10" t="inlineStr">
        <is>
          <t>Sem foto</t>
        </is>
      </c>
    </row>
    <row r="47">
      <c r="A47" s="10" t="inlineStr">
        <is>
          <t>Terracota</t>
        </is>
      </c>
      <c r="B47" s="10" t="inlineStr">
        <is>
          <t>TER</t>
        </is>
      </c>
      <c r="C47" s="10" t="inlineStr">
        <is>
          <t>MOL-3C-TER</t>
        </is>
      </c>
      <c r="D47" s="14" t="inlineStr">
        <is>
          <t>⚠️ Provável cor das fotos #4–#7, que leem como laranja queimado vivo — não terracota</t>
        </is>
      </c>
    </row>
    <row r="48">
      <c r="A48" s="10" t="inlineStr">
        <is>
          <t>Azul Claro</t>
        </is>
      </c>
      <c r="B48" s="10" t="inlineStr">
        <is>
          <t>AZC</t>
        </is>
      </c>
      <c r="C48" s="10" t="inlineStr">
        <is>
          <t>MOL-3C-AZC</t>
        </is>
      </c>
      <c r="D48" s="14" t="inlineStr">
        <is>
          <t>⚠️ Provável cor das fotos #8–#10, que leem como azul royal/cobalto saturado — não azul claro</t>
        </is>
      </c>
    </row>
    <row r="49" ht="30" customHeight="1">
      <c r="A49" s="2" t="inlineStr">
        <is>
          <t>Seletor da página e texto batem (6 cores). Mas os nomes não batem com as fotos: 'Terracota' parece laranja; 'Azul Claro' parece royal; 'Branco' parece off-white. Vermelho não fotografado. Pedir cartela física.</t>
        </is>
      </c>
    </row>
    <row r="51">
      <c r="A51" s="27" t="inlineStr">
        <is>
          <t>5. Personalização (preço sempre sob orçamento)</t>
        </is>
      </c>
      <c r="B51" s="28" t="n"/>
      <c r="C51" s="28" t="n"/>
      <c r="D51" s="28" t="n"/>
      <c r="E51" s="28" t="n"/>
      <c r="F51" s="28" t="n"/>
    </row>
    <row r="52">
      <c r="A52" s="9" t="inlineStr">
        <is>
          <t>Técnica</t>
        </is>
      </c>
      <c r="B52" s="9" t="inlineStr">
        <is>
          <t>Detalhe</t>
        </is>
      </c>
      <c r="C52" s="9" t="inlineStr">
        <is>
          <t>Mínimo</t>
        </is>
      </c>
    </row>
    <row r="53">
      <c r="A53" s="10" t="inlineStr">
        <is>
          <t>Bordado</t>
        </is>
      </c>
      <c r="B53" s="10" t="inlineStr">
        <is>
          <t>Peito, mangas, costas — 🟢 recomendado; ⚠️ usar entretela (o texto diz que dispensa)</t>
        </is>
      </c>
      <c r="C53" s="10" t="inlineStr">
        <is>
          <t>20 pç</t>
        </is>
      </c>
    </row>
    <row r="54">
      <c r="A54" s="10" t="inlineStr">
        <is>
          <t>Silk base d'água</t>
        </is>
      </c>
      <c r="B54" s="10" t="inlineStr">
        <is>
          <t>Frente, costas, mangas</t>
        </is>
      </c>
      <c r="C54" s="10" t="inlineStr">
        <is>
          <t>20 pç</t>
        </is>
      </c>
    </row>
    <row r="55">
      <c r="A55" s="10" t="inlineStr">
        <is>
          <t>DTF</t>
        </is>
      </c>
      <c r="B55" s="10" t="inlineStr">
        <is>
          <t>Full color</t>
        </is>
      </c>
      <c r="C55" s="10" t="inlineStr">
        <is>
          <t>20 pç</t>
        </is>
      </c>
    </row>
    <row r="56">
      <c r="A56" s="10" t="inlineStr">
        <is>
          <t>Sublimação</t>
        </is>
      </c>
      <c r="B56" s="14" t="inlineStr">
        <is>
          <t>⚠️ 'Parcial' em 50/50 — resultado lavado/desbotado; não usar</t>
        </is>
      </c>
      <c r="C56" s="10" t="inlineStr">
        <is>
          <t>20 pç</t>
        </is>
      </c>
    </row>
    <row r="57">
      <c r="A57" s="10" t="inlineStr">
        <is>
          <t>Etiqueta private label</t>
        </is>
      </c>
      <c r="B57" s="10" t="inlineStr">
        <is>
          <t>Interna + tag</t>
        </is>
      </c>
      <c r="C57" s="10" t="inlineStr">
        <is>
          <t>20 pç</t>
        </is>
      </c>
    </row>
    <row r="58">
      <c r="A58" s="10" t="inlineStr">
        <is>
          <t>Embalagem customizada</t>
        </is>
      </c>
      <c r="B58" s="10" t="inlineStr">
        <is>
          <t>Saco, caixa premium, tag</t>
        </is>
      </c>
      <c r="C58" s="10" t="inlineStr">
        <is>
          <t>50 pç</t>
        </is>
      </c>
    </row>
    <row r="59">
      <c r="A59" s="10" t="inlineStr">
        <is>
          <t>Cor Pantone</t>
        </is>
      </c>
      <c r="B59" s="10" t="inlineStr">
        <is>
          <t>15–25 dias úteis</t>
        </is>
      </c>
      <c r="C59" s="10" t="inlineStr">
        <is>
          <t>100 pç/cor</t>
        </is>
      </c>
    </row>
    <row r="60">
      <c r="A60" s="10" t="inlineStr">
        <is>
          <t>Preço</t>
        </is>
      </c>
      <c r="B60" s="10" t="inlineStr">
        <is>
          <t>Sob orçamento</t>
        </is>
      </c>
      <c r="C60" s="10" t="inlineStr">
        <is>
          <t>—</t>
        </is>
      </c>
    </row>
    <row r="62">
      <c r="A62" s="27" t="inlineStr">
        <is>
          <t>6. Preços do fornecedor (desconto progressivo)</t>
        </is>
      </c>
      <c r="B62" s="28" t="n"/>
      <c r="C62" s="28" t="n"/>
      <c r="D62" s="28" t="n"/>
      <c r="E62" s="28" t="n"/>
      <c r="F62" s="28" t="n"/>
    </row>
    <row r="63">
      <c r="A63" s="24" t="inlineStr">
        <is>
          <t>Preço base (R$)</t>
        </is>
      </c>
      <c r="B63" s="31" t="n">
        <v>59</v>
      </c>
    </row>
    <row r="64">
      <c r="A64" s="17" t="inlineStr">
        <is>
          <t>Faixa</t>
        </is>
      </c>
      <c r="B64" s="17" t="inlineStr">
        <is>
          <t>Peças</t>
        </is>
      </c>
      <c r="C64" s="17" t="inlineStr">
        <is>
          <t>Desconto</t>
        </is>
      </c>
      <c r="D64" s="17" t="inlineStr">
        <is>
          <t>Preço unitário</t>
        </is>
      </c>
      <c r="E64" s="17" t="inlineStr">
        <is>
          <t>Preço + Pix</t>
        </is>
      </c>
    </row>
    <row r="65">
      <c r="A65" s="18" t="inlineStr">
        <is>
          <t>Faixa 1</t>
        </is>
      </c>
      <c r="B65" s="18" t="inlineStr">
        <is>
          <t>20–40</t>
        </is>
      </c>
      <c r="C65" s="32">
        <f>'Regras Fornecedor'!$D$4</f>
        <v/>
      </c>
      <c r="D65" s="33">
        <f>ROUND($B$63*(1-C65),2)</f>
        <v/>
      </c>
      <c r="E65" s="34">
        <f>ROUND(D65*(1-'Regras Fornecedor'!$B$10),2)</f>
        <v/>
      </c>
    </row>
    <row r="66">
      <c r="A66" s="18" t="inlineStr">
        <is>
          <t>Faixa 2</t>
        </is>
      </c>
      <c r="B66" s="18" t="inlineStr">
        <is>
          <t>40–80</t>
        </is>
      </c>
      <c r="C66" s="32">
        <f>'Regras Fornecedor'!$D$5</f>
        <v/>
      </c>
      <c r="D66" s="33">
        <f>ROUND($B$63*(1-C66),2)</f>
        <v/>
      </c>
      <c r="E66" s="34">
        <f>ROUND(D66*(1-'Regras Fornecedor'!$B$10),2)</f>
        <v/>
      </c>
    </row>
    <row r="67">
      <c r="A67" s="18" t="inlineStr">
        <is>
          <t>Faixa 3</t>
        </is>
      </c>
      <c r="B67" s="18" t="inlineStr">
        <is>
          <t>80–100</t>
        </is>
      </c>
      <c r="C67" s="32">
        <f>'Regras Fornecedor'!$D$6</f>
        <v/>
      </c>
      <c r="D67" s="33">
        <f>ROUND($B$63*(1-C67),2)</f>
        <v/>
      </c>
      <c r="E67" s="34">
        <f>ROUND(D67*(1-'Regras Fornecedor'!$B$10),2)</f>
        <v/>
      </c>
    </row>
    <row r="68">
      <c r="A68" s="18" t="inlineStr">
        <is>
          <t>Faixa 4</t>
        </is>
      </c>
      <c r="B68" s="18" t="inlineStr">
        <is>
          <t>100–300</t>
        </is>
      </c>
      <c r="C68" s="32">
        <f>'Regras Fornecedor'!$D$7</f>
        <v/>
      </c>
      <c r="D68" s="33">
        <f>ROUND($B$63*(1-C68),2)</f>
        <v/>
      </c>
      <c r="E68" s="34">
        <f>ROUND(D68*(1-'Regras Fornecedor'!$B$10),2)</f>
        <v/>
      </c>
    </row>
    <row r="69">
      <c r="A69" s="18" t="inlineStr">
        <is>
          <t>Faixa 5</t>
        </is>
      </c>
      <c r="B69" s="18" t="inlineStr">
        <is>
          <t>300–999</t>
        </is>
      </c>
      <c r="C69" s="32">
        <f>'Regras Fornecedor'!$D$8</f>
        <v/>
      </c>
      <c r="D69" s="33">
        <f>ROUND($B$63*(1-C69),2)</f>
        <v/>
      </c>
      <c r="E69" s="34">
        <f>ROUND(D69*(1-'Regras Fornecedor'!$B$10),2)</f>
        <v/>
      </c>
    </row>
    <row r="71">
      <c r="A71" s="27" t="inlineStr">
        <is>
          <t>7. Custo HMZT e margem (lote de 20 peças, Pix)</t>
        </is>
      </c>
      <c r="B71" s="28" t="n"/>
      <c r="C71" s="28" t="n"/>
      <c r="D71" s="28" t="n"/>
      <c r="E71" s="28" t="n"/>
      <c r="F71" s="28" t="n"/>
    </row>
    <row r="72">
      <c r="A72" s="24" t="inlineStr">
        <is>
          <t>Peça (20 pç, Pix)</t>
        </is>
      </c>
      <c r="B72" s="35">
        <f>E65</f>
        <v/>
      </c>
    </row>
    <row r="73">
      <c r="A73" s="24" t="inlineStr">
        <is>
          <t>Personalização + etiqueta + tag (R$/pç)</t>
        </is>
      </c>
      <c r="B73" s="36" t="n">
        <v>10</v>
      </c>
      <c r="C73" s="15" t="inlineStr">
        <is>
          <t>Estimativa HMZT — trocar pelo orçamento real</t>
        </is>
      </c>
    </row>
    <row r="74">
      <c r="A74" s="24" t="inlineStr">
        <is>
          <t>Frete rateado + embalagem (R$/pç)</t>
        </is>
      </c>
      <c r="B74" s="36" t="n">
        <v>7</v>
      </c>
      <c r="C74" s="15" t="inlineStr">
        <is>
          <t>Estimativa HMZT — trocar pelo orçamento real</t>
        </is>
      </c>
    </row>
    <row r="75">
      <c r="A75" s="24" t="inlineStr">
        <is>
          <t>Custo unitário estimado</t>
        </is>
      </c>
      <c r="B75" s="37">
        <f>SUM(B72:B74)</f>
        <v/>
      </c>
    </row>
    <row r="76">
      <c r="A76" s="24" t="inlineStr">
        <is>
          <t>Preço de venda HMZT (R$)</t>
        </is>
      </c>
      <c r="B76" s="36" t="n">
        <v>199</v>
      </c>
      <c r="C76" s="15" t="inlineStr">
        <is>
          <t>Sugestão do dossiê — ajustar</t>
        </is>
      </c>
    </row>
    <row r="77">
      <c r="A77" s="24" t="inlineStr">
        <is>
          <t>Impostos + gateway (% do preço)</t>
        </is>
      </c>
      <c r="B77" s="38" t="n">
        <v>0</v>
      </c>
      <c r="C77" s="15" t="inlineStr">
        <is>
          <t>A preencher (Simples + taxa Asaas)</t>
        </is>
      </c>
    </row>
    <row r="78">
      <c r="A78" s="24" t="inlineStr">
        <is>
          <t>Margem bruta (R$)</t>
        </is>
      </c>
      <c r="B78" s="35">
        <f>B76-B75</f>
        <v/>
      </c>
    </row>
    <row r="79">
      <c r="A79" s="24" t="inlineStr">
        <is>
          <t>Margem bruta (%)</t>
        </is>
      </c>
      <c r="B79" s="39">
        <f>IF(B76=0,0,(B76-B75)/B76)</f>
        <v/>
      </c>
    </row>
    <row r="80">
      <c r="A80" s="24" t="inlineStr">
        <is>
          <t>Margem após impostos/gateway (%)</t>
        </is>
      </c>
      <c r="B80" s="39">
        <f>IF(B76=0,0,(B76*(1-B77)-B75)/B76)</f>
        <v/>
      </c>
      <c r="C80" s="15" t="inlineStr">
        <is>
          <t>Ainda sem frete ao cliente e mídia</t>
        </is>
      </c>
    </row>
    <row r="82">
      <c r="A82" s="27" t="inlineStr">
        <is>
          <t>8. Contradições e erros ⚠️</t>
        </is>
      </c>
      <c r="B82" s="28" t="n"/>
      <c r="C82" s="28" t="n"/>
      <c r="D82" s="28" t="n"/>
      <c r="E82" s="28" t="n"/>
      <c r="F82" s="28" t="n"/>
    </row>
    <row r="83">
      <c r="A83" s="8" t="inlineStr">
        <is>
          <t>⚠️ Preço: a página mostra R$ 68,00 no seletor; o texto dá preço base de R$ 59,00 e tabela a partir dele. Provável preço de varejo/unidade × atacado — confirmar qual vale no pedido.</t>
        </is>
      </c>
    </row>
    <row r="84">
      <c r="A84" s="8" t="inlineStr">
        <is>
          <t>⚠️ Nomes de cor × fotos: 'Terracota' = laranja queimado; 'Azul Claro' = azul royal; 'Branco' = off-white.</t>
        </is>
      </c>
    </row>
    <row r="85">
      <c r="A85" s="8" t="inlineStr">
        <is>
          <t>⚠️ A calça P25 diz que suas cores 'coincidem' com este moletom — só Preto e Marinho coincidem. E a calça não tem EG.</t>
        </is>
      </c>
    </row>
    <row r="86">
      <c r="A86" s="8" t="inlineStr">
        <is>
          <t>⚠️ '3 cabos = três fios torcidos antes da tecelagem' e '+50% de material por ponto' — tecnicamente errado (malha, não tecelagem; 3 cabos = três sistemas de fio).</t>
        </is>
      </c>
    </row>
    <row r="87">
      <c r="A87" s="8" t="inlineStr">
        <is>
          <t>⚠️ Felpado × peluciado: o texto chama de 'felpado' o interior de 'fibras grossas levantadas'. No mercado, 'felpado' costuma ser o avesso com argolas (sem escovar) e 'peluciado' o escovado. Pedir foto do avesso.</t>
        </is>
      </c>
    </row>
    <row r="88">
      <c r="A88" s="8" t="inlineStr">
        <is>
          <t>⚠️ Cor: aqui o texto diz que o POLIÉSTER dá fixação de cor superior; no canguru (P28) diz que é o ALGODÃO. Contradição entre páginas.</t>
        </is>
      </c>
    </row>
    <row r="89">
      <c r="A89" s="8" t="inlineStr">
        <is>
          <t>⚠️ Sublimação 'parcial' oferecida em 50/50 — resultado fraco.</t>
        </is>
      </c>
    </row>
    <row r="90">
      <c r="A90" s="8" t="inlineStr">
        <is>
          <t>⚠️ Bordado 'dispensando entretela' — prática de risco em moletom; exigir entretela.</t>
        </is>
      </c>
    </row>
    <row r="91">
      <c r="A91" s="8" t="inlineStr">
        <is>
          <t>⚠️ Câmara fria / frigorífico / 'atende normas de segurança industrial' — alegação regulatória sem CA de EPI.</t>
        </is>
      </c>
    </row>
    <row r="93">
      <c r="A93" s="27" t="inlineStr">
        <is>
          <t>9. Comunicação HMZT</t>
        </is>
      </c>
      <c r="B93" s="28" t="n"/>
      <c r="C93" s="28" t="n"/>
      <c r="D93" s="28" t="n"/>
      <c r="E93" s="28" t="n"/>
      <c r="F93" s="28" t="n"/>
    </row>
    <row r="94">
      <c r="A94" s="24" t="inlineStr">
        <is>
          <t>✅ Pode usar</t>
        </is>
      </c>
      <c r="D94" s="24" t="inlineStr">
        <is>
          <t>📣 / ⛔ Não usar</t>
        </is>
      </c>
    </row>
    <row r="95">
      <c r="A95" s="40" t="inlineStr">
        <is>
          <t>"Moletom 320 g/m², 3 cabos, felpado por dentro."</t>
        </is>
      </c>
      <c r="D95" s="8" t="inlineStr">
        <is>
          <t>📣 "O moletom mais quente", "barreira térmica real", "abaixo de 15 graus".</t>
        </is>
      </c>
    </row>
    <row r="96">
      <c r="A96" s="40" t="inlineStr">
        <is>
          <t>"50% algodão, 50% poliéster — pré-encolhido."</t>
        </is>
      </c>
      <c r="D96" s="8" t="inlineStr">
        <is>
          <t>📣 "Isso é pesado, isso é sério", pirâmide de peso e percepção do consumidor.</t>
        </is>
      </c>
    </row>
    <row r="97">
      <c r="A97" s="40" t="inlineStr">
        <is>
          <t>"Gola careca em ribana reforçada de 3 cm; punhos e barra em ribana."</t>
        </is>
      </c>
      <c r="D97" s="8" t="inlineStr">
        <is>
          <t>📣 "Margem de 60–85%", benchmarks de varejo sem fonte.</t>
        </is>
      </c>
    </row>
    <row r="98">
      <c r="A98" s="40" t="inlineStr">
        <is>
          <t>"Costura ombro a ombro com fita interna."</t>
        </is>
      </c>
      <c r="D98" s="8" t="inlineStr">
        <is>
          <t>📣 "Resultado de bordado excepcionalmente premium, sem entretela".</t>
        </is>
      </c>
    </row>
    <row r="99">
      <c r="A99" s="40" t="inlineStr">
        <is>
          <t>"Forma conjunto com a calça de moletom 320 g (Preto e Marinho)."</t>
        </is>
      </c>
      <c r="D99" s="8" t="inlineStr">
        <is>
          <t>⚠️ "Serve para câmara fria / atende normas de segurança".</t>
        </is>
      </c>
    </row>
    <row r="100">
      <c r="A100" s="40" t="inlineStr">
        <is>
          <t>"Fabricado em Santa Catarina."</t>
        </is>
      </c>
    </row>
    <row r="102">
      <c r="A102" s="27" t="inlineStr">
        <is>
          <t>10. Pendências com o fornecedor</t>
        </is>
      </c>
      <c r="B102" s="28" t="n"/>
      <c r="C102" s="28" t="n"/>
      <c r="D102" s="28" t="n"/>
      <c r="E102" s="28" t="n"/>
      <c r="F102" s="28" t="n"/>
    </row>
    <row r="103">
      <c r="A103" s="9" t="inlineStr">
        <is>
          <t>Pendência</t>
        </is>
      </c>
      <c r="B103" s="9" t="inlineStr">
        <is>
          <t>Status</t>
        </is>
      </c>
      <c r="C103" s="9" t="inlineStr">
        <is>
          <t>Responsável</t>
        </is>
      </c>
      <c r="D103" s="9" t="inlineStr">
        <is>
          <t>Resposta</t>
        </is>
      </c>
    </row>
    <row r="104">
      <c r="A104" s="10" t="inlineStr">
        <is>
          <t>Preço real: R$ 59,00 (texto) ou R$ 68,00 (página)?</t>
        </is>
      </c>
      <c r="B104" s="11" t="inlineStr">
        <is>
          <t>Aberta</t>
        </is>
      </c>
      <c r="C104" s="11" t="inlineStr"/>
      <c r="D104" s="11" t="inlineStr"/>
    </row>
    <row r="105">
      <c r="A105" s="10" t="inlineStr">
        <is>
          <t>Cartela física: Terracota, Azul Claro e Branco reais; foto do Vermelho</t>
        </is>
      </c>
      <c r="B105" s="11" t="inlineStr">
        <is>
          <t>Aberta</t>
        </is>
      </c>
      <c r="C105" s="11" t="inlineStr"/>
      <c r="D105" s="11" t="inlineStr"/>
    </row>
    <row r="106">
      <c r="A106" s="10" t="inlineStr">
        <is>
          <t>Foto do avesso (felpado com argola ou escovado?)</t>
        </is>
      </c>
      <c r="B106" s="11" t="inlineStr">
        <is>
          <t>Aberta</t>
        </is>
      </c>
      <c r="C106" s="11" t="inlineStr"/>
      <c r="D106" s="11" t="inlineStr"/>
    </row>
    <row r="107">
      <c r="A107" s="10" t="inlineStr">
        <is>
          <t>Altura e largura de punho e barra</t>
        </is>
      </c>
      <c r="B107" s="11" t="inlineStr">
        <is>
          <t>Aberta</t>
        </is>
      </c>
      <c r="C107" s="11" t="inlineStr"/>
      <c r="D107" s="11" t="inlineStr"/>
    </row>
    <row r="108">
      <c r="A108" s="10" t="inlineStr">
        <is>
          <t>Orçamento: bordado peito com entretela + etiqueta + tag</t>
        </is>
      </c>
      <c r="B108" s="11" t="inlineStr">
        <is>
          <t>Aberta</t>
        </is>
      </c>
      <c r="C108" s="11" t="inlineStr"/>
      <c r="D108" s="11" t="inlineStr"/>
    </row>
    <row r="109">
      <c r="A109" s="10" t="inlineStr">
        <is>
          <t>Existe versão 3 cabos com capuz?</t>
        </is>
      </c>
      <c r="B109" s="11" t="inlineStr">
        <is>
          <t>Aberta</t>
        </is>
      </c>
      <c r="C109" s="11" t="inlineStr"/>
      <c r="D109" s="11" t="inlineStr"/>
    </row>
    <row r="111">
      <c r="A111" s="27" t="inlineStr">
        <is>
          <t>11. Fluxo de prompts de lookbook (docs/shop-confeccao/prompts/P26-prompts.md)</t>
        </is>
      </c>
      <c r="B111" s="28" t="n"/>
      <c r="C111" s="28" t="n"/>
      <c r="D111" s="28" t="n"/>
      <c r="E111" s="28" t="n"/>
      <c r="F111" s="28" t="n"/>
    </row>
    <row r="112">
      <c r="A112" s="9" t="inlineStr">
        <is>
          <t>Foto</t>
        </is>
      </c>
      <c r="B112" s="9" t="inlineStr">
        <is>
          <t>Origem no print</t>
        </is>
      </c>
      <c r="C112" s="9" t="inlineStr">
        <is>
          <t>Formato</t>
        </is>
      </c>
      <c r="D112" s="9" t="inlineStr">
        <is>
          <t>Status</t>
        </is>
      </c>
    </row>
    <row r="113">
      <c r="A113" s="10" t="inlineStr">
        <is>
          <t>F1 — Frontal braços soltos</t>
        </is>
      </c>
      <c r="B113" s="10" t="inlineStr">
        <is>
          <t>Origem: foto #1 (preto, frontal, olhar na câmera)</t>
        </is>
      </c>
      <c r="C113" s="10" t="inlineStr">
        <is>
          <t>4:5</t>
        </is>
      </c>
      <c r="D113" s="11" t="inlineStr">
        <is>
          <t>A gerar</t>
        </is>
      </c>
    </row>
    <row r="114">
      <c r="A114" s="10" t="inlineStr">
        <is>
          <t>F2 — Leve 3/4</t>
        </is>
      </c>
      <c r="B114" s="10" t="inlineStr">
        <is>
          <t>Origem: foto #2 (preto, corpo levemente virado)</t>
        </is>
      </c>
      <c r="C114" s="10" t="inlineStr">
        <is>
          <t>4:5</t>
        </is>
      </c>
      <c r="D114" s="11" t="inlineStr">
        <is>
          <t>A gerar</t>
        </is>
      </c>
    </row>
    <row r="115">
      <c r="A115" s="10" t="inlineStr">
        <is>
          <t>F3 — Detalhe gola e ombro</t>
        </is>
      </c>
      <c r="B115" s="10" t="inlineStr">
        <is>
          <t>Origem: foto #3 (preto, recorte do bigode ao peito)</t>
        </is>
      </c>
      <c r="C115" s="10" t="inlineStr">
        <is>
          <t>4:5</t>
        </is>
      </c>
      <c r="D115" s="11" t="inlineStr">
        <is>
          <t>A gerar</t>
        </is>
      </c>
    </row>
    <row r="116">
      <c r="A116" s="10" t="inlineStr">
        <is>
          <t>F4 — 3/4 olhar para fora</t>
        </is>
      </c>
      <c r="B116" s="10" t="inlineStr">
        <is>
          <t>Origem: foto #4 (laranja/'terracota', 3/4)</t>
        </is>
      </c>
      <c r="C116" s="10" t="inlineStr">
        <is>
          <t>4:5</t>
        </is>
      </c>
      <c r="D116" s="11" t="inlineStr">
        <is>
          <t>A gerar</t>
        </is>
      </c>
    </row>
    <row r="117">
      <c r="A117" s="10" t="inlineStr">
        <is>
          <t>F5 — Detalhe gola com camiseta</t>
        </is>
      </c>
      <c r="B117" s="10" t="inlineStr">
        <is>
          <t>Origem: foto #5 (laranja, recorte do nariz ao peito)</t>
        </is>
      </c>
      <c r="C117" s="10" t="inlineStr">
        <is>
          <t>4:5</t>
        </is>
      </c>
      <c r="D117" s="11" t="inlineStr">
        <is>
          <t>A gerar</t>
        </is>
      </c>
    </row>
    <row r="118">
      <c r="A118" s="10" t="inlineStr">
        <is>
          <t>F6 — Frontal olhar firme</t>
        </is>
      </c>
      <c r="B118" s="10" t="inlineStr">
        <is>
          <t>Origem: foto #6 (laranja, frontal)</t>
        </is>
      </c>
      <c r="C118" s="10" t="inlineStr">
        <is>
          <t>4:5</t>
        </is>
      </c>
      <c r="D118" s="11" t="inlineStr">
        <is>
          <t>A gerar</t>
        </is>
      </c>
    </row>
    <row r="119">
      <c r="A119" s="10" t="inlineStr">
        <is>
          <t>F7 — Perfil 3/4 olhando para o lado</t>
        </is>
      </c>
      <c r="B119" s="10" t="inlineStr">
        <is>
          <t>Origem: foto #7 (laranja, corpo 3/4, rosto de perfil)</t>
        </is>
      </c>
      <c r="C119" s="10" t="inlineStr">
        <is>
          <t>4:5</t>
        </is>
      </c>
      <c r="D119" s="11" t="inlineStr">
        <is>
          <t>A gerar</t>
        </is>
      </c>
    </row>
    <row r="120">
      <c r="A120" s="10" t="inlineStr">
        <is>
          <t>F8 — 3/4 olhar para cima</t>
        </is>
      </c>
      <c r="B120" s="10" t="inlineStr">
        <is>
          <t>Origem: foto #8 (azul, 3/4, olhar para o lado e para cima)</t>
        </is>
      </c>
      <c r="C120" s="10" t="inlineStr">
        <is>
          <t>4:5</t>
        </is>
      </c>
      <c r="D120" s="11" t="inlineStr">
        <is>
          <t>A gerar</t>
        </is>
      </c>
    </row>
    <row r="121">
      <c r="A121" s="10" t="inlineStr">
        <is>
          <t>F9 — Ajustando o punho</t>
        </is>
      </c>
      <c r="B121" s="10" t="inlineStr">
        <is>
          <t>Origem: foto #9 (azul, mão ajustando o punho)</t>
        </is>
      </c>
      <c r="C121" s="10" t="inlineStr">
        <is>
          <t>4:5</t>
        </is>
      </c>
      <c r="D121" s="11" t="inlineStr">
        <is>
          <t>A gerar</t>
        </is>
      </c>
    </row>
    <row r="122">
      <c r="A122" s="10" t="inlineStr">
        <is>
          <t>F10 — Frontal com camiseta aparente</t>
        </is>
      </c>
      <c r="B122" s="10" t="inlineStr">
        <is>
          <t>Origem: foto #10 (azul, frontal)</t>
        </is>
      </c>
      <c r="C122" s="10" t="inlineStr">
        <is>
          <t>4:5</t>
        </is>
      </c>
      <c r="D122" s="11" t="inlineStr">
        <is>
          <t>A gerar</t>
        </is>
      </c>
    </row>
    <row r="123">
      <c r="A123" s="10" t="inlineStr">
        <is>
          <t>F11 — Frontal claro</t>
        </is>
      </c>
      <c r="B123" s="10" t="inlineStr">
        <is>
          <t>Origem: foto #11 (branco/off-white, frontal)</t>
        </is>
      </c>
      <c r="C123" s="10" t="inlineStr">
        <is>
          <t>4:5</t>
        </is>
      </c>
      <c r="D123" s="11" t="inlineStr">
        <is>
          <t>A gerar</t>
        </is>
      </c>
    </row>
    <row r="124">
      <c r="A124" s="10" t="inlineStr">
        <is>
          <t>F12 — Frontal centralizado</t>
        </is>
      </c>
      <c r="B124" s="10" t="inlineStr">
        <is>
          <t>Origem: foto #12 (branco/off-white, frontal centralizado)</t>
        </is>
      </c>
      <c r="C124" s="10" t="inlineStr">
        <is>
          <t>4:5</t>
        </is>
      </c>
      <c r="D124" s="11" t="inlineStr">
        <is>
          <t>A gerar</t>
        </is>
      </c>
    </row>
    <row r="125">
      <c r="A125" s="10" t="inlineStr">
        <is>
          <t>F13 — Mãos cruzadas no punho</t>
        </is>
      </c>
      <c r="B125" s="10" t="inlineStr">
        <is>
          <t>Origem: foto #13 (branco/off-white, 3/4, mãos juntas)</t>
        </is>
      </c>
      <c r="C125" s="10" t="inlineStr">
        <is>
          <t>4:5</t>
        </is>
      </c>
      <c r="D125" s="11" t="inlineStr">
        <is>
          <t>A gerar</t>
        </is>
      </c>
    </row>
    <row r="126">
      <c r="A126" s="10" t="inlineStr">
        <is>
          <t>F14 — Frontal marinho</t>
        </is>
      </c>
      <c r="B126" s="10" t="inlineStr">
        <is>
          <t>Origem: foto #14 (marinho, frontal)</t>
        </is>
      </c>
      <c r="C126" s="10" t="inlineStr">
        <is>
          <t>4:5</t>
        </is>
      </c>
      <c r="D126" s="11" t="inlineStr">
        <is>
          <t>A gerar</t>
        </is>
      </c>
    </row>
    <row r="127">
      <c r="A127" s="10" t="inlineStr">
        <is>
          <t>F15 — Leve 3/4 marinho</t>
        </is>
      </c>
      <c r="B127" s="10" t="inlineStr">
        <is>
          <t>Origem: foto #15 (marinho, leve 3/4)</t>
        </is>
      </c>
      <c r="C127" s="10" t="inlineStr">
        <is>
          <t>4:5</t>
        </is>
      </c>
      <c r="D127" s="11" t="inlineStr">
        <is>
          <t>A gerar</t>
        </is>
      </c>
    </row>
  </sheetData>
  <mergeCells count="45">
    <mergeCell ref="B4:F4"/>
    <mergeCell ref="A99:C99"/>
    <mergeCell ref="B7:F7"/>
    <mergeCell ref="A84:F84"/>
    <mergeCell ref="A90:F90"/>
    <mergeCell ref="A89:F89"/>
    <mergeCell ref="B15:E15"/>
    <mergeCell ref="D97:F97"/>
    <mergeCell ref="B24:E24"/>
    <mergeCell ref="B20:E20"/>
    <mergeCell ref="A86:F86"/>
    <mergeCell ref="A95:C95"/>
    <mergeCell ref="B26:E26"/>
    <mergeCell ref="A85:F85"/>
    <mergeCell ref="B11:F11"/>
    <mergeCell ref="B16:E16"/>
    <mergeCell ref="A97:C97"/>
    <mergeCell ref="B25:E25"/>
    <mergeCell ref="A100:C100"/>
    <mergeCell ref="B8:F8"/>
    <mergeCell ref="A91:F91"/>
    <mergeCell ref="A96:C96"/>
    <mergeCell ref="B22:E22"/>
    <mergeCell ref="A38:F38"/>
    <mergeCell ref="B18:E18"/>
    <mergeCell ref="B27:E27"/>
    <mergeCell ref="D98:F98"/>
    <mergeCell ref="B10:F10"/>
    <mergeCell ref="B21:E21"/>
    <mergeCell ref="A83:F83"/>
    <mergeCell ref="B9:F9"/>
    <mergeCell ref="B17:E17"/>
    <mergeCell ref="B23:E23"/>
    <mergeCell ref="A49:F49"/>
    <mergeCell ref="A98:C98"/>
    <mergeCell ref="B6:F6"/>
    <mergeCell ref="D99:F99"/>
    <mergeCell ref="B5:F5"/>
    <mergeCell ref="B29:E29"/>
    <mergeCell ref="A88:F88"/>
    <mergeCell ref="D96:F96"/>
    <mergeCell ref="B19:E19"/>
    <mergeCell ref="B28:E28"/>
    <mergeCell ref="A87:F87"/>
    <mergeCell ref="D95:F95"/>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P27 — Blusa Raglan Manga Longa 300g (fio importado 2 cabos)</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HMZT-P27-RGL-ML300</t>
        </is>
      </c>
    </row>
    <row r="5">
      <c r="A5" s="24" t="inlineStr">
        <is>
          <t>Fornecedor</t>
        </is>
      </c>
      <c r="B5" s="2" t="inlineStr">
        <is>
          <t>Lunfe Malhas — fabricação própria, Itajaí-SC</t>
        </is>
      </c>
    </row>
    <row r="6">
      <c r="A6" s="24" t="inlineStr">
        <is>
          <t>Referência</t>
        </is>
      </c>
      <c r="B6" s="2" t="inlineStr">
        <is>
          <t>7896163529327 (EAN-13)</t>
        </is>
      </c>
    </row>
    <row r="7">
      <c r="A7" s="24" t="inlineStr">
        <is>
          <t>URL</t>
        </is>
      </c>
      <c r="B7" s="2" t="inlineStr">
        <is>
          <t>lunfemalhas.com.br/blusa-raglan-manga-longa-300g-atacado-lunfe</t>
        </is>
      </c>
    </row>
    <row r="8">
      <c r="A8" s="24" t="inlineStr">
        <is>
          <t>Categoria no site</t>
        </is>
      </c>
      <c r="B8" s="2" t="inlineStr">
        <is>
          <t>Inverno</t>
        </is>
      </c>
    </row>
    <row r="9">
      <c r="A9" s="24" t="inlineStr">
        <is>
          <t>Linha HMZT recomendada</t>
        </is>
      </c>
      <c r="B9" s="2" t="inlineStr">
        <is>
          <t>Meia-estação — Manga longa 'Design' (raglan) · condicionada à composição</t>
        </is>
      </c>
    </row>
    <row r="10">
      <c r="A10" s="24" t="inlineStr">
        <is>
          <t>Estoque</t>
        </is>
      </c>
      <c r="B10" s="8" t="inlineStr">
        <is>
          <t>🔴 'Esse acabou' na página; FAQ diz '4 cores em estoque, despacho 24h' ⚠️</t>
        </is>
      </c>
    </row>
    <row r="11">
      <c r="A11" s="24" t="inlineStr">
        <is>
          <t>Descritor canônico (IA)</t>
        </is>
      </c>
      <c r="B11" s="2" t="inlineStr">
        <is>
          <t>Blusa masculina manga longa raglan regular fit em malha encorpada 300 g lisa por dentro, costura diagonal da gola à axila, gola careca em ribana fina, punhos e barra com bainha virada lisa, comprimento no quadril. Fosca com leve toque acetinado. Peça lisa.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'Fio importado chinês de fibra longa' — SEM percentual</t>
        </is>
      </c>
      <c r="C15" s="29" t="n"/>
      <c r="D15" s="29" t="n"/>
      <c r="E15" s="30" t="n"/>
    </row>
    <row r="16">
      <c r="A16" s="10" t="inlineStr">
        <is>
          <t>Construção</t>
        </is>
      </c>
      <c r="B16" s="10" t="inlineStr">
        <is>
          <t>Malha 2 cabos (double ply), sem peluciado; interior liso</t>
        </is>
      </c>
      <c r="C16" s="29" t="n"/>
      <c r="D16" s="29" t="n"/>
      <c r="E16" s="30" t="n"/>
    </row>
    <row r="17">
      <c r="A17" s="10" t="inlineStr">
        <is>
          <t>Gramatura</t>
        </is>
      </c>
      <c r="B17" s="10" t="inlineStr">
        <is>
          <t>300 g/m²</t>
        </is>
      </c>
      <c r="C17" s="29" t="n"/>
      <c r="D17" s="29" t="n"/>
      <c r="E17" s="30" t="n"/>
    </row>
    <row r="18">
      <c r="A18" s="10" t="inlineStr">
        <is>
          <t>Modelagem</t>
        </is>
      </c>
      <c r="B18" s="10" t="inlineStr">
        <is>
          <t>Regular fit, manga longa raglan</t>
        </is>
      </c>
      <c r="C18" s="29" t="n"/>
      <c r="D18" s="29" t="n"/>
      <c r="E18" s="30" t="n"/>
    </row>
    <row r="19">
      <c r="A19" s="10" t="inlineStr">
        <is>
          <t>Manga</t>
        </is>
      </c>
      <c r="B19" s="10" t="inlineStr">
        <is>
          <t>Raglan — costura diagonal da gola à axila; sem costura de ombro</t>
        </is>
      </c>
      <c r="C19" s="29" t="n"/>
      <c r="D19" s="29" t="n"/>
      <c r="E19" s="30" t="n"/>
    </row>
    <row r="20">
      <c r="A20" s="10" t="inlineStr">
        <is>
          <t>Gola</t>
        </is>
      </c>
      <c r="B20" s="10" t="inlineStr">
        <is>
          <t>Careca em ribana reforçada (≈ 2 cm nas fotos)</t>
        </is>
      </c>
      <c r="C20" s="29" t="n"/>
      <c r="D20" s="29" t="n"/>
      <c r="E20" s="30" t="n"/>
    </row>
    <row r="21">
      <c r="A21" s="10" t="inlineStr">
        <is>
          <t>Punhos</t>
        </is>
      </c>
      <c r="B21" s="10" t="inlineStr">
        <is>
          <t>Ficha: ribana canelada · Fotos: barra virada lisa</t>
        </is>
      </c>
      <c r="C21" s="29" t="n"/>
      <c r="D21" s="29" t="n"/>
      <c r="E21" s="30" t="n"/>
    </row>
    <row r="22">
      <c r="A22" s="10" t="inlineStr">
        <is>
          <t>Barra</t>
        </is>
      </c>
      <c r="B22" s="10" t="inlineStr">
        <is>
          <t>Ficha: ribana canelada · Acabamentos: 'barra dupla' · Fotos: barra virada lisa</t>
        </is>
      </c>
      <c r="C22" s="29" t="n"/>
      <c r="D22" s="29" t="n"/>
      <c r="E22" s="30" t="n"/>
    </row>
    <row r="23">
      <c r="A23" s="10" t="inlineStr">
        <is>
          <t>Toque</t>
        </is>
      </c>
      <c r="B23" s="10" t="inlineStr">
        <is>
          <t>'Acetinado natural, brilho sutil'</t>
        </is>
      </c>
      <c r="C23" s="29" t="n"/>
      <c r="D23" s="29" t="n"/>
      <c r="E23" s="30" t="n"/>
    </row>
    <row r="24">
      <c r="A24" s="10" t="inlineStr">
        <is>
          <t>Tratamentos</t>
        </is>
      </c>
      <c r="B24" s="10" t="inlineStr">
        <is>
          <t>Pré-encolhimento industrial; fixação de cor de alta solidez</t>
        </is>
      </c>
      <c r="C24" s="29" t="n"/>
      <c r="D24" s="29" t="n"/>
      <c r="E24" s="30" t="n"/>
    </row>
    <row r="25">
      <c r="A25" s="10" t="inlineStr">
        <is>
          <t>Tamanhos</t>
        </is>
      </c>
      <c r="B25" s="10" t="inlineStr">
        <is>
          <t>P ao EG (5)</t>
        </is>
      </c>
      <c r="C25" s="29" t="n"/>
      <c r="D25" s="29" t="n"/>
      <c r="E25" s="30" t="n"/>
    </row>
    <row r="26">
      <c r="A26" s="10" t="inlineStr">
        <is>
          <t>Produção</t>
        </is>
      </c>
      <c r="B26" s="10" t="inlineStr">
        <is>
          <t>Malha feita em Itajaí-SC com fio importado</t>
        </is>
      </c>
      <c r="C26" s="29" t="n"/>
      <c r="D26" s="29" t="n"/>
      <c r="E26" s="30" t="n"/>
    </row>
    <row r="27">
      <c r="A27" s="10" t="inlineStr">
        <is>
          <t>Modelo das fotos</t>
        </is>
      </c>
      <c r="B27" s="10" t="inlineStr">
        <is>
          <t>1,84 m · 84 kg · veste M</t>
        </is>
      </c>
      <c r="C27" s="29" t="n"/>
      <c r="D27" s="29" t="n"/>
      <c r="E27" s="30" t="n"/>
    </row>
    <row r="29">
      <c r="A29" s="27" t="inlineStr">
        <is>
          <t>3. Tabela de medidas (cm)</t>
        </is>
      </c>
      <c r="B29" s="28" t="n"/>
      <c r="C29" s="28" t="n"/>
      <c r="D29" s="28" t="n"/>
      <c r="E29" s="28" t="n"/>
      <c r="F29" s="28" t="n"/>
    </row>
    <row r="30">
      <c r="A30" s="9" t="inlineStr">
        <is>
          <t>Tamanho</t>
        </is>
      </c>
      <c r="B30" s="9" t="inlineStr">
        <is>
          <t>Comprimento</t>
        </is>
      </c>
      <c r="C30" s="9" t="inlineStr">
        <is>
          <t>Largura</t>
        </is>
      </c>
      <c r="D30" s="9" t="inlineStr">
        <is>
          <t>Mangas (gola ao punho)</t>
        </is>
      </c>
    </row>
    <row r="31">
      <c r="A31" s="10" t="inlineStr">
        <is>
          <t>P</t>
        </is>
      </c>
      <c r="B31" s="11" t="n">
        <v>70</v>
      </c>
      <c r="C31" s="11" t="n">
        <v>52</v>
      </c>
      <c r="D31" s="11" t="n">
        <v>66</v>
      </c>
    </row>
    <row r="32">
      <c r="A32" s="10" t="inlineStr">
        <is>
          <t>M</t>
        </is>
      </c>
      <c r="B32" s="11" t="n">
        <v>72</v>
      </c>
      <c r="C32" s="11" t="n">
        <v>54</v>
      </c>
      <c r="D32" s="11" t="n">
        <v>68</v>
      </c>
    </row>
    <row r="33">
      <c r="A33" s="10" t="inlineStr">
        <is>
          <t>G</t>
        </is>
      </c>
      <c r="B33" s="11" t="n">
        <v>74</v>
      </c>
      <c r="C33" s="11" t="n">
        <v>56</v>
      </c>
      <c r="D33" s="11" t="n">
        <v>70</v>
      </c>
    </row>
    <row r="34">
      <c r="A34" s="10" t="inlineStr">
        <is>
          <t>GG</t>
        </is>
      </c>
      <c r="B34" s="11" t="n">
        <v>76</v>
      </c>
      <c r="C34" s="11" t="n">
        <v>58</v>
      </c>
      <c r="D34" s="11" t="n">
        <v>72</v>
      </c>
    </row>
    <row r="35">
      <c r="A35" s="10" t="inlineStr">
        <is>
          <t>EG</t>
        </is>
      </c>
      <c r="B35" s="11" t="n">
        <v>78</v>
      </c>
      <c r="C35" s="11" t="n">
        <v>60</v>
      </c>
      <c r="D35" s="11" t="n">
        <v>74</v>
      </c>
    </row>
    <row r="36" ht="30" customHeight="1">
      <c r="A36" s="2" t="inlineStr">
        <is>
          <t>Em cm, ± 2 cm. Na raglan a manga é medida da base da gola ao fim do punho (por isso é maior que a da P29) e não existe medida de ombro. ⚠️ Faltam largura do punho e da barra.</t>
        </is>
      </c>
    </row>
    <row r="37">
      <c r="A37" s="15" t="inlineStr">
        <is>
          <t>Modelo das fotos: 1,84 m · 84 kg · veste M</t>
        </is>
      </c>
    </row>
    <row r="39">
      <c r="A39" s="27" t="inlineStr">
        <is>
          <t>4. Cores disponíveis</t>
        </is>
      </c>
      <c r="B39" s="28" t="n"/>
      <c r="C39" s="28" t="n"/>
      <c r="D39" s="28" t="n"/>
      <c r="E39" s="28" t="n"/>
      <c r="F39" s="28" t="n"/>
    </row>
    <row r="40">
      <c r="A40" s="9" t="inlineStr">
        <is>
          <t>Cor</t>
        </is>
      </c>
      <c r="B40" s="9" t="inlineStr">
        <is>
          <t>Código HMZT</t>
        </is>
      </c>
      <c r="C40" s="9" t="inlineStr">
        <is>
          <t>Ref. fornecedor</t>
        </is>
      </c>
      <c r="D40" s="9" t="inlineStr">
        <is>
          <t>Observação</t>
        </is>
      </c>
    </row>
    <row r="41">
      <c r="A41" s="10" t="inlineStr">
        <is>
          <t>Preto</t>
        </is>
      </c>
      <c r="B41" s="10" t="inlineStr">
        <is>
          <t>PRT</t>
        </is>
      </c>
      <c r="C41" s="10" t="inlineStr">
        <is>
          <t>BML-RG-PRT</t>
        </is>
      </c>
      <c r="D41" s="10" t="inlineStr">
        <is>
          <t>Fotos #3–#5</t>
        </is>
      </c>
    </row>
    <row r="42">
      <c r="A42" s="10" t="inlineStr">
        <is>
          <t>Marinho</t>
        </is>
      </c>
      <c r="B42" s="10" t="inlineStr">
        <is>
          <t>MAR</t>
        </is>
      </c>
      <c r="C42" s="10" t="inlineStr">
        <is>
          <t>BML-RG-MRN</t>
        </is>
      </c>
      <c r="D42" s="10" t="inlineStr">
        <is>
          <t>Fotos #6–#8</t>
        </is>
      </c>
    </row>
    <row r="43">
      <c r="A43" s="10" t="inlineStr">
        <is>
          <t>Off White</t>
        </is>
      </c>
      <c r="B43" s="10" t="inlineStr">
        <is>
          <t>OFF</t>
        </is>
      </c>
      <c r="C43" s="10" t="inlineStr">
        <is>
          <t>BML-RG-OFW</t>
        </is>
      </c>
      <c r="D43" s="10" t="inlineStr">
        <is>
          <t>Fotos #1–#2</t>
        </is>
      </c>
    </row>
    <row r="44">
      <c r="A44" s="10" t="inlineStr">
        <is>
          <t>Verde</t>
        </is>
      </c>
      <c r="B44" s="10" t="inlineStr">
        <is>
          <t>VRD</t>
        </is>
      </c>
      <c r="C44" s="10" t="inlineStr">
        <is>
          <t>BML-RG-VRD</t>
        </is>
      </c>
      <c r="D44" s="10" t="inlineStr">
        <is>
          <t>Fotos #9–#11 — verde militar escuro; ⚠️ #9 e #11 são PNG menores (1122 px), com aparência de edição digital</t>
        </is>
      </c>
    </row>
    <row r="45" ht="30" customHeight="1">
      <c r="A45" s="2" t="inlineStr">
        <is>
          <t>4 cores com referência. O texto chama o Verde de 'cor clara' — nas fotos é um verde militar escuro. As fotos verdes #9/#11 parecem retocadas (cabelo mais escuro, resolução menor): não confiar nelas para o tom.</t>
        </is>
      </c>
    </row>
    <row r="47">
      <c r="A47" s="27" t="inlineStr">
        <is>
          <t>5. Personalização (preço sempre sob orçamento)</t>
        </is>
      </c>
      <c r="B47" s="28" t="n"/>
      <c r="C47" s="28" t="n"/>
      <c r="D47" s="28" t="n"/>
      <c r="E47" s="28" t="n"/>
      <c r="F47" s="28" t="n"/>
    </row>
    <row r="48">
      <c r="A48" s="9" t="inlineStr">
        <is>
          <t>Técnica</t>
        </is>
      </c>
      <c r="B48" s="9" t="inlineStr">
        <is>
          <t>Detalhe</t>
        </is>
      </c>
      <c r="C48" s="9" t="inlineStr">
        <is>
          <t>Mínimo</t>
        </is>
      </c>
    </row>
    <row r="49">
      <c r="A49" s="10" t="inlineStr">
        <is>
          <t>Bordado</t>
        </is>
      </c>
      <c r="B49" s="10" t="inlineStr">
        <is>
          <t>Peito (na raglan, abaixo da costura diagonal) e mangas — 🟢 recomendado; ⚠️ usar entretela</t>
        </is>
      </c>
      <c r="C49" s="10" t="inlineStr">
        <is>
          <t>20 pç</t>
        </is>
      </c>
    </row>
    <row r="50">
      <c r="A50" s="10" t="inlineStr">
        <is>
          <t>Silk base d'água</t>
        </is>
      </c>
      <c r="B50" s="10" t="inlineStr">
        <is>
          <t>Costas (área mais limpa), mangas, peito</t>
        </is>
      </c>
      <c r="C50" s="10" t="inlineStr">
        <is>
          <t>20 pç</t>
        </is>
      </c>
    </row>
    <row r="51">
      <c r="A51" s="10" t="inlineStr">
        <is>
          <t>DTF</t>
        </is>
      </c>
      <c r="B51" s="10" t="inlineStr">
        <is>
          <t>Full color — melhor nas costas</t>
        </is>
      </c>
      <c r="C51" s="10" t="inlineStr">
        <is>
          <t>20 pç</t>
        </is>
      </c>
    </row>
    <row r="52">
      <c r="A52" s="10" t="inlineStr">
        <is>
          <t>Etiqueta private label</t>
        </is>
      </c>
      <c r="B52" s="10" t="inlineStr">
        <is>
          <t>Interna + tag — ⚠️ exige composição em % na etiqueta (lei de rotulagem têxtil)</t>
        </is>
      </c>
      <c r="C52" s="10" t="inlineStr">
        <is>
          <t>20 pç</t>
        </is>
      </c>
    </row>
    <row r="53">
      <c r="A53" s="10" t="inlineStr">
        <is>
          <t>Embalagem customizada</t>
        </is>
      </c>
      <c r="B53" s="10" t="inlineStr">
        <is>
          <t>Saco, caixa premium, tag</t>
        </is>
      </c>
      <c r="C53" s="10" t="inlineStr">
        <is>
          <t>50 pç</t>
        </is>
      </c>
    </row>
    <row r="54">
      <c r="A54" s="10" t="inlineStr">
        <is>
          <t>Cor Pantone</t>
        </is>
      </c>
      <c r="B54" s="10" t="inlineStr">
        <is>
          <t>15–25 dias úteis</t>
        </is>
      </c>
      <c r="C54" s="10" t="inlineStr">
        <is>
          <t>100 pç/cor</t>
        </is>
      </c>
    </row>
    <row r="55">
      <c r="A55" s="10" t="inlineStr">
        <is>
          <t>Preço</t>
        </is>
      </c>
      <c r="B55" s="10" t="inlineStr">
        <is>
          <t>Sob orçamento</t>
        </is>
      </c>
      <c r="C55" s="10" t="inlineStr">
        <is>
          <t>—</t>
        </is>
      </c>
    </row>
    <row r="57">
      <c r="A57" s="27" t="inlineStr">
        <is>
          <t>6. Preços do fornecedor (desconto progressivo)</t>
        </is>
      </c>
      <c r="B57" s="28" t="n"/>
      <c r="C57" s="28" t="n"/>
      <c r="D57" s="28" t="n"/>
      <c r="E57" s="28" t="n"/>
      <c r="F57" s="28" t="n"/>
    </row>
    <row r="58">
      <c r="A58" s="24" t="inlineStr">
        <is>
          <t>Preço base (R$)</t>
        </is>
      </c>
      <c r="B58" s="31" t="n">
        <v>54</v>
      </c>
    </row>
    <row r="59">
      <c r="A59" s="17" t="inlineStr">
        <is>
          <t>Faixa</t>
        </is>
      </c>
      <c r="B59" s="17" t="inlineStr">
        <is>
          <t>Peças</t>
        </is>
      </c>
      <c r="C59" s="17" t="inlineStr">
        <is>
          <t>Desconto</t>
        </is>
      </c>
      <c r="D59" s="17" t="inlineStr">
        <is>
          <t>Preço unitário</t>
        </is>
      </c>
      <c r="E59" s="17" t="inlineStr">
        <is>
          <t>Preço + Pix</t>
        </is>
      </c>
    </row>
    <row r="60">
      <c r="A60" s="18" t="inlineStr">
        <is>
          <t>Faixa 1</t>
        </is>
      </c>
      <c r="B60" s="18" t="inlineStr">
        <is>
          <t>20–40</t>
        </is>
      </c>
      <c r="C60" s="32">
        <f>'Regras Fornecedor'!$D$4</f>
        <v/>
      </c>
      <c r="D60" s="33">
        <f>ROUND($B$58*(1-C60),2)</f>
        <v/>
      </c>
      <c r="E60" s="34">
        <f>ROUND(D60*(1-'Regras Fornecedor'!$B$10),2)</f>
        <v/>
      </c>
    </row>
    <row r="61">
      <c r="A61" s="18" t="inlineStr">
        <is>
          <t>Faixa 2</t>
        </is>
      </c>
      <c r="B61" s="18" t="inlineStr">
        <is>
          <t>40–80</t>
        </is>
      </c>
      <c r="C61" s="32">
        <f>'Regras Fornecedor'!$D$5</f>
        <v/>
      </c>
      <c r="D61" s="33">
        <f>ROUND($B$58*(1-C61),2)</f>
        <v/>
      </c>
      <c r="E61" s="34">
        <f>ROUND(D61*(1-'Regras Fornecedor'!$B$10),2)</f>
        <v/>
      </c>
    </row>
    <row r="62">
      <c r="A62" s="18" t="inlineStr">
        <is>
          <t>Faixa 3</t>
        </is>
      </c>
      <c r="B62" s="18" t="inlineStr">
        <is>
          <t>80–100</t>
        </is>
      </c>
      <c r="C62" s="32">
        <f>'Regras Fornecedor'!$D$6</f>
        <v/>
      </c>
      <c r="D62" s="33">
        <f>ROUND($B$58*(1-C62),2)</f>
        <v/>
      </c>
      <c r="E62" s="34">
        <f>ROUND(D62*(1-'Regras Fornecedor'!$B$10),2)</f>
        <v/>
      </c>
    </row>
    <row r="63">
      <c r="A63" s="18" t="inlineStr">
        <is>
          <t>Faixa 4</t>
        </is>
      </c>
      <c r="B63" s="18" t="inlineStr">
        <is>
          <t>100–300</t>
        </is>
      </c>
      <c r="C63" s="32">
        <f>'Regras Fornecedor'!$D$7</f>
        <v/>
      </c>
      <c r="D63" s="33">
        <f>ROUND($B$58*(1-C63),2)</f>
        <v/>
      </c>
      <c r="E63" s="34">
        <f>ROUND(D63*(1-'Regras Fornecedor'!$B$10),2)</f>
        <v/>
      </c>
    </row>
    <row r="64">
      <c r="A64" s="18" t="inlineStr">
        <is>
          <t>Faixa 5</t>
        </is>
      </c>
      <c r="B64" s="18" t="inlineStr">
        <is>
          <t>300–999</t>
        </is>
      </c>
      <c r="C64" s="32">
        <f>'Regras Fornecedor'!$D$8</f>
        <v/>
      </c>
      <c r="D64" s="33">
        <f>ROUND($B$58*(1-C64),2)</f>
        <v/>
      </c>
      <c r="E64" s="34">
        <f>ROUND(D64*(1-'Regras Fornecedor'!$B$10),2)</f>
        <v/>
      </c>
    </row>
    <row r="66">
      <c r="A66" s="27" t="inlineStr">
        <is>
          <t>7. Custo HMZT e margem (lote de 20 peças, Pix)</t>
        </is>
      </c>
      <c r="B66" s="28" t="n"/>
      <c r="C66" s="28" t="n"/>
      <c r="D66" s="28" t="n"/>
      <c r="E66" s="28" t="n"/>
      <c r="F66" s="28" t="n"/>
    </row>
    <row r="67">
      <c r="A67" s="24" t="inlineStr">
        <is>
          <t>Peça (20 pç, Pix)</t>
        </is>
      </c>
      <c r="B67" s="35">
        <f>E60</f>
        <v/>
      </c>
    </row>
    <row r="68">
      <c r="A68" s="24" t="inlineStr">
        <is>
          <t>Personalização + etiqueta + tag (R$/pç)</t>
        </is>
      </c>
      <c r="B68" s="36" t="n">
        <v>9</v>
      </c>
      <c r="C68" s="15" t="inlineStr">
        <is>
          <t>Estimativa HMZT — trocar pelo orçamento real</t>
        </is>
      </c>
    </row>
    <row r="69">
      <c r="A69" s="24" t="inlineStr">
        <is>
          <t>Frete rateado + embalagem (R$/pç)</t>
        </is>
      </c>
      <c r="B69" s="36" t="n">
        <v>5</v>
      </c>
      <c r="C69" s="15" t="inlineStr">
        <is>
          <t>Estimativa HMZT — trocar pelo orçamento real</t>
        </is>
      </c>
    </row>
    <row r="70">
      <c r="A70" s="24" t="inlineStr">
        <is>
          <t>Custo unitário estimado</t>
        </is>
      </c>
      <c r="B70" s="37">
        <f>SUM(B67:B69)</f>
        <v/>
      </c>
    </row>
    <row r="71">
      <c r="A71" s="24" t="inlineStr">
        <is>
          <t>Preço de venda HMZT (R$)</t>
        </is>
      </c>
      <c r="B71" s="36" t="n">
        <v>159</v>
      </c>
      <c r="C71" s="15" t="inlineStr">
        <is>
          <t>Sugestão do dossiê — ajustar</t>
        </is>
      </c>
    </row>
    <row r="72">
      <c r="A72" s="24" t="inlineStr">
        <is>
          <t>Impostos + gateway (% do preço)</t>
        </is>
      </c>
      <c r="B72" s="38" t="n">
        <v>0</v>
      </c>
      <c r="C72" s="15" t="inlineStr">
        <is>
          <t>A preencher (Simples + taxa Asaas)</t>
        </is>
      </c>
    </row>
    <row r="73">
      <c r="A73" s="24" t="inlineStr">
        <is>
          <t>Margem bruta (R$)</t>
        </is>
      </c>
      <c r="B73" s="35">
        <f>B71-B70</f>
        <v/>
      </c>
    </row>
    <row r="74">
      <c r="A74" s="24" t="inlineStr">
        <is>
          <t>Margem bruta (%)</t>
        </is>
      </c>
      <c r="B74" s="39">
        <f>IF(B71=0,0,(B71-B70)/B71)</f>
        <v/>
      </c>
    </row>
    <row r="75">
      <c r="A75" s="24" t="inlineStr">
        <is>
          <t>Margem após impostos/gateway (%)</t>
        </is>
      </c>
      <c r="B75" s="39">
        <f>IF(B71=0,0,(B71*(1-B72)-B70)/B71)</f>
        <v/>
      </c>
      <c r="C75" s="15" t="inlineStr">
        <is>
          <t>Ainda sem frete ao cliente e mídia</t>
        </is>
      </c>
    </row>
    <row r="77">
      <c r="A77" s="27" t="inlineStr">
        <is>
          <t>8. Contradições e erros ⚠️</t>
        </is>
      </c>
      <c r="B77" s="28" t="n"/>
      <c r="C77" s="28" t="n"/>
      <c r="D77" s="28" t="n"/>
      <c r="E77" s="28" t="n"/>
      <c r="F77" s="28" t="n"/>
    </row>
    <row r="78">
      <c r="A78" s="8" t="inlineStr">
        <is>
          <t>⚠️ Composição não informada em % — só 'fio importado chinês'. Não dá para etiquetar (rotulagem têxtil exige composição) nem afirmar 'algodão'.</t>
        </is>
      </c>
    </row>
    <row r="79">
      <c r="A79" s="8" t="inlineStr">
        <is>
          <t>⚠️ Origem 'chinês' sem rastreabilidade = mesmo risco de algodão de Xinjiang dos P05/P06.</t>
        </is>
      </c>
    </row>
    <row r="80">
      <c r="A80" s="8" t="inlineStr">
        <is>
          <t>⚠️ Ficha: 'Punhos e Barra em ribana canelada'. Mesma ficha, linha de acabamentos: 'barra dupla'. Fotos: punho e barra virados, lisos, sem ribana. Três versões.</t>
        </is>
      </c>
    </row>
    <row r="81">
      <c r="A81" s="8" t="inlineStr">
        <is>
          <t>⚠️ Texto diz que a raglan justifica 'R$ 10–20' a mais no varejo; depois 'R$ 10–30'.</t>
        </is>
      </c>
    </row>
    <row r="82">
      <c r="A82" s="8" t="inlineStr">
        <is>
          <t>⚠️ Chama o Verde de cor clara; a foto mostra verde militar escuro.</t>
        </is>
      </c>
    </row>
    <row r="83">
      <c r="A83" s="8" t="inlineStr">
        <is>
          <t>⚠️ Fotos #9 e #11 (verde) em PNG de resolução menor, com sinais de edição — possível recolorização digital.</t>
        </is>
      </c>
    </row>
    <row r="84">
      <c r="A84" s="8" t="inlineStr">
        <is>
          <t>⚠️ Nome dos arquivos de foto: 'haglan' (erro de digitação).</t>
        </is>
      </c>
    </row>
    <row r="85">
      <c r="A85" s="8" t="inlineStr">
        <is>
          <t>⚠️ Estoque: 'Esse acabou' × FAQ '4 cores em estoque'.</t>
        </is>
      </c>
    </row>
    <row r="87">
      <c r="A87" s="27" t="inlineStr">
        <is>
          <t>9. Comunicação HMZT</t>
        </is>
      </c>
      <c r="B87" s="28" t="n"/>
      <c r="C87" s="28" t="n"/>
      <c r="D87" s="28" t="n"/>
      <c r="E87" s="28" t="n"/>
      <c r="F87" s="28" t="n"/>
    </row>
    <row r="88">
      <c r="A88" s="24" t="inlineStr">
        <is>
          <t>✅ Pode usar</t>
        </is>
      </c>
      <c r="D88" s="24" t="inlineStr">
        <is>
          <t>📣 / ⛔ Não usar</t>
        </is>
      </c>
    </row>
    <row r="89">
      <c r="A89" s="40" t="inlineStr">
        <is>
          <t>"Manga raglan — costura diagonal da gola à axila, mais liberdade no ombro."</t>
        </is>
      </c>
      <c r="D89" s="8" t="inlineStr">
        <is>
          <t>⚠️ "Fio importado chinês" / qualquer menção à origem do fio.</t>
        </is>
      </c>
    </row>
    <row r="90">
      <c r="A90" s="40" t="inlineStr">
        <is>
          <t>"Malha 300 g/m², lisa por dentro, opaca."</t>
        </is>
      </c>
      <c r="D90" s="8" t="inlineStr">
        <is>
          <t>⚠️ "Algodão" — composição não confirmada.</t>
        </is>
      </c>
    </row>
    <row r="91">
      <c r="A91" s="40" t="inlineStr">
        <is>
          <t>"Gola careca em ribana."</t>
        </is>
      </c>
      <c r="D91" s="8" t="inlineStr">
        <is>
          <t>📣 "Toque acetinado de camisa de luxo", "brilho de tecido caro".</t>
        </is>
      </c>
    </row>
    <row r="92">
      <c r="A92" s="40" t="inlineStr">
        <is>
          <t>"Malha produzida em Santa Catarina."</t>
        </is>
      </c>
      <c r="D92" s="8" t="inlineStr">
        <is>
          <t>📣 "ROI de 376%", "R$ 4,20 vira R$ 15,80 de margem".</t>
        </is>
      </c>
    </row>
    <row r="93">
      <c r="A93" s="40" t="inlineStr">
        <is>
          <t>Composição — SÓ depois que o fornecedor informar o % por escrito.</t>
        </is>
      </c>
      <c r="D93" s="8" t="inlineStr">
        <is>
          <t>📣 "O consumidor frequentemente leva a raglan", "sem resistência".</t>
        </is>
      </c>
    </row>
    <row r="94">
      <c r="D94" s="8" t="inlineStr">
        <is>
          <t>📣 "Peça de coleção sem custo de estampa".</t>
        </is>
      </c>
    </row>
    <row r="96">
      <c r="A96" s="27" t="inlineStr">
        <is>
          <t>10. Pendências com o fornecedor</t>
        </is>
      </c>
      <c r="B96" s="28" t="n"/>
      <c r="C96" s="28" t="n"/>
      <c r="D96" s="28" t="n"/>
      <c r="E96" s="28" t="n"/>
      <c r="F96" s="28" t="n"/>
    </row>
    <row r="97">
      <c r="A97" s="9" t="inlineStr">
        <is>
          <t>Pendência</t>
        </is>
      </c>
      <c r="B97" s="9" t="inlineStr">
        <is>
          <t>Status</t>
        </is>
      </c>
      <c r="C97" s="9" t="inlineStr">
        <is>
          <t>Responsável</t>
        </is>
      </c>
      <c r="D97" s="9" t="inlineStr">
        <is>
          <t>Resposta</t>
        </is>
      </c>
    </row>
    <row r="98">
      <c r="A98" s="10" t="inlineStr">
        <is>
          <t>Composição exata em % (100% algodão? mistura?) e laudo</t>
        </is>
      </c>
      <c r="B98" s="11" t="inlineStr">
        <is>
          <t>Aberta</t>
        </is>
      </c>
      <c r="C98" s="11" t="inlineStr"/>
      <c r="D98" s="11" t="inlineStr"/>
    </row>
    <row r="99">
      <c r="A99" s="10" t="inlineStr">
        <is>
          <t>Origem/rastreabilidade do fio (região, fiação) — decisivo para usar ou não</t>
        </is>
      </c>
      <c r="B99" s="11" t="inlineStr">
        <is>
          <t>Aberta</t>
        </is>
      </c>
      <c r="C99" s="11" t="inlineStr"/>
      <c r="D99" s="11" t="inlineStr"/>
    </row>
    <row r="100">
      <c r="A100" s="10" t="inlineStr">
        <is>
          <t>Punho e barra: ribana ou barra virada? (fotos mostram barra virada)</t>
        </is>
      </c>
      <c r="B100" s="11" t="inlineStr">
        <is>
          <t>Aberta</t>
        </is>
      </c>
      <c r="C100" s="11" t="inlineStr"/>
      <c r="D100" s="11" t="inlineStr"/>
    </row>
    <row r="101">
      <c r="A101" s="10" t="inlineStr">
        <is>
          <t>Cor verde real (fotos #9/#11 parecem editadas)</t>
        </is>
      </c>
      <c r="B101" s="11" t="inlineStr">
        <is>
          <t>Aberta</t>
        </is>
      </c>
      <c r="C101" s="11" t="inlineStr"/>
      <c r="D101" s="11" t="inlineStr"/>
    </row>
    <row r="102">
      <c r="A102" s="10" t="inlineStr">
        <is>
          <t>Estoque real</t>
        </is>
      </c>
      <c r="B102" s="11" t="inlineStr">
        <is>
          <t>Aberta</t>
        </is>
      </c>
      <c r="C102" s="11" t="inlineStr"/>
      <c r="D102" s="11" t="inlineStr"/>
    </row>
    <row r="103">
      <c r="A103" s="10" t="inlineStr">
        <is>
          <t>Orçamento de bordado peito + etiqueta</t>
        </is>
      </c>
      <c r="B103" s="11" t="inlineStr">
        <is>
          <t>Aberta</t>
        </is>
      </c>
      <c r="C103" s="11" t="inlineStr"/>
      <c r="D103" s="11" t="inlineStr"/>
    </row>
    <row r="105">
      <c r="A105" s="27" t="inlineStr">
        <is>
          <t>11. Fluxo de prompts de lookbook (docs/shop-confeccao/prompts/P27-prompts.md)</t>
        </is>
      </c>
      <c r="B105" s="28" t="n"/>
      <c r="C105" s="28" t="n"/>
      <c r="D105" s="28" t="n"/>
      <c r="E105" s="28" t="n"/>
      <c r="F105" s="28" t="n"/>
    </row>
    <row r="106">
      <c r="A106" s="9" t="inlineStr">
        <is>
          <t>Foto</t>
        </is>
      </c>
      <c r="B106" s="9" t="inlineStr">
        <is>
          <t>Origem no print</t>
        </is>
      </c>
      <c r="C106" s="9" t="inlineStr">
        <is>
          <t>Formato</t>
        </is>
      </c>
      <c r="D106" s="9" t="inlineStr">
        <is>
          <t>Status</t>
        </is>
      </c>
    </row>
    <row r="107">
      <c r="A107" s="10" t="inlineStr">
        <is>
          <t>F1 — Close ajustando a gola</t>
        </is>
      </c>
      <c r="B107" s="10" t="inlineStr">
        <is>
          <t>Origem: foto #1 (off-white, recorte cabeça ao peito, mão na gola)</t>
        </is>
      </c>
      <c r="C107" s="10" t="inlineStr">
        <is>
          <t>4:5</t>
        </is>
      </c>
      <c r="D107" s="11" t="inlineStr">
        <is>
          <t>A gerar</t>
        </is>
      </c>
    </row>
    <row r="108">
      <c r="A108" s="10" t="inlineStr">
        <is>
          <t>F2 — 3/4 olhando para fora</t>
        </is>
      </c>
      <c r="B108" s="10" t="inlineStr">
        <is>
          <t>Origem: foto #2 (off-white, 3/4)</t>
        </is>
      </c>
      <c r="C108" s="10" t="inlineStr">
        <is>
          <t>4:5</t>
        </is>
      </c>
      <c r="D108" s="11" t="inlineStr">
        <is>
          <t>A gerar</t>
        </is>
      </c>
    </row>
    <row r="109">
      <c r="A109" s="10" t="inlineStr">
        <is>
          <t>F3 — Frontal leve 3/4</t>
        </is>
      </c>
      <c r="B109" s="10" t="inlineStr">
        <is>
          <t>Origem: foto #3 (preto, leve 3/4)</t>
        </is>
      </c>
      <c r="C109" s="10" t="inlineStr">
        <is>
          <t>4:5</t>
        </is>
      </c>
      <c r="D109" s="11" t="inlineStr">
        <is>
          <t>A gerar</t>
        </is>
      </c>
    </row>
    <row r="110">
      <c r="A110" s="10" t="inlineStr">
        <is>
          <t>F4 — Mão na gola, frontal</t>
        </is>
      </c>
      <c r="B110" s="10" t="inlineStr">
        <is>
          <t>Origem: foto #4 (preto, mão direita na gola)</t>
        </is>
      </c>
      <c r="C110" s="10" t="inlineStr">
        <is>
          <t>4:5</t>
        </is>
      </c>
      <c r="D110" s="11" t="inlineStr">
        <is>
          <t>A gerar</t>
        </is>
      </c>
    </row>
    <row r="111">
      <c r="A111" s="10" t="inlineStr">
        <is>
          <t>F5 — 3/4 cabeça inclinada</t>
        </is>
      </c>
      <c r="B111" s="10" t="inlineStr">
        <is>
          <t>Origem: foto #5 (preto, 3/4, mãos atrás/soltas)</t>
        </is>
      </c>
      <c r="C111" s="10" t="inlineStr">
        <is>
          <t>4:5</t>
        </is>
      </c>
      <c r="D111" s="11" t="inlineStr">
        <is>
          <t>A gerar</t>
        </is>
      </c>
    </row>
    <row r="112">
      <c r="A112" s="10" t="inlineStr">
        <is>
          <t>F6 — Frontal centralizado</t>
        </is>
      </c>
      <c r="B112" s="10" t="inlineStr">
        <is>
          <t>Origem: foto #6 (marinho, frontal)</t>
        </is>
      </c>
      <c r="C112" s="10" t="inlineStr">
        <is>
          <t>4:5</t>
        </is>
      </c>
      <c r="D112" s="11" t="inlineStr">
        <is>
          <t>A gerar</t>
        </is>
      </c>
    </row>
    <row r="113">
      <c r="A113" s="10" t="inlineStr">
        <is>
          <t>F7 — 3/4 olhar na câmera</t>
        </is>
      </c>
      <c r="B113" s="10" t="inlineStr">
        <is>
          <t>Origem: foto #7 (marinho, 3/4)</t>
        </is>
      </c>
      <c r="C113" s="10" t="inlineStr">
        <is>
          <t>4:5</t>
        </is>
      </c>
      <c r="D113" s="11" t="inlineStr">
        <is>
          <t>A gerar</t>
        </is>
      </c>
    </row>
    <row r="114">
      <c r="A114" s="10" t="inlineStr">
        <is>
          <t>F8 — Detalhe da costura raglan</t>
        </is>
      </c>
      <c r="B114" s="10" t="inlineStr">
        <is>
          <t>Origem: foto #8 (marinho, recorte do queixo ao peito)</t>
        </is>
      </c>
      <c r="C114" s="10" t="inlineStr">
        <is>
          <t>4:5</t>
        </is>
      </c>
      <c r="D114" s="11" t="inlineStr">
        <is>
          <t>A gerar</t>
        </is>
      </c>
    </row>
    <row r="115">
      <c r="A115" s="10" t="inlineStr">
        <is>
          <t>F9 — Frontal verde</t>
        </is>
      </c>
      <c r="B115" s="10" t="inlineStr">
        <is>
          <t>Origem: foto #9 (verde, frontal — PNG com sinais de edição)</t>
        </is>
      </c>
      <c r="C115" s="10" t="inlineStr">
        <is>
          <t>4:5</t>
        </is>
      </c>
      <c r="D115" s="11" t="inlineStr">
        <is>
          <t>A gerar</t>
        </is>
      </c>
    </row>
    <row r="116">
      <c r="A116" s="10" t="inlineStr">
        <is>
          <t>F10 — Detalhe gola com mão</t>
        </is>
      </c>
      <c r="B116" s="10" t="inlineStr">
        <is>
          <t>Origem: foto #10 (verde, recorte do nariz ao peito, mão na gola)</t>
        </is>
      </c>
      <c r="C116" s="10" t="inlineStr">
        <is>
          <t>4:5</t>
        </is>
      </c>
      <c r="D116" s="11" t="inlineStr">
        <is>
          <t>A gerar</t>
        </is>
      </c>
    </row>
    <row r="117">
      <c r="A117" s="10" t="inlineStr">
        <is>
          <t>F11 — 3/4 mãos juntas</t>
        </is>
      </c>
      <c r="B117" s="10" t="inlineStr">
        <is>
          <t>Origem: foto #11 (verde, 3/4, mãos juntas — PNG com sinais de edição)</t>
        </is>
      </c>
      <c r="C117" s="10" t="inlineStr">
        <is>
          <t>4:5</t>
        </is>
      </c>
      <c r="D117" s="11" t="inlineStr">
        <is>
          <t>A gerar</t>
        </is>
      </c>
    </row>
  </sheetData>
  <mergeCells count="42">
    <mergeCell ref="B4:F4"/>
    <mergeCell ref="A90:C90"/>
    <mergeCell ref="B7:F7"/>
    <mergeCell ref="A84:F84"/>
    <mergeCell ref="A80:F80"/>
    <mergeCell ref="A89:C89"/>
    <mergeCell ref="B15:E15"/>
    <mergeCell ref="B24:E24"/>
    <mergeCell ref="B20:E20"/>
    <mergeCell ref="D91:F91"/>
    <mergeCell ref="B26:E26"/>
    <mergeCell ref="A85:F85"/>
    <mergeCell ref="B11:F11"/>
    <mergeCell ref="D93:F93"/>
    <mergeCell ref="B16:E16"/>
    <mergeCell ref="B25:E25"/>
    <mergeCell ref="A91:C91"/>
    <mergeCell ref="B8:F8"/>
    <mergeCell ref="D92:F92"/>
    <mergeCell ref="B22:E22"/>
    <mergeCell ref="A81:F81"/>
    <mergeCell ref="B18:E18"/>
    <mergeCell ref="B27:E27"/>
    <mergeCell ref="D89:F89"/>
    <mergeCell ref="A93:C93"/>
    <mergeCell ref="B10:F10"/>
    <mergeCell ref="D94:F94"/>
    <mergeCell ref="B21:E21"/>
    <mergeCell ref="A83:F83"/>
    <mergeCell ref="A92:C92"/>
    <mergeCell ref="B9:F9"/>
    <mergeCell ref="B17:E17"/>
    <mergeCell ref="B23:E23"/>
    <mergeCell ref="A82:F82"/>
    <mergeCell ref="D90:F90"/>
    <mergeCell ref="B6:F6"/>
    <mergeCell ref="A36:F36"/>
    <mergeCell ref="A45:F45"/>
    <mergeCell ref="B5:F5"/>
    <mergeCell ref="A79:F79"/>
    <mergeCell ref="B19:E19"/>
    <mergeCell ref="A78:F78"/>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24"/>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P28 — Moletom Canguru Peluciado 260g com Capuz e Cordão</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HMZT-P28-REG-PEL260</t>
        </is>
      </c>
    </row>
    <row r="5">
      <c r="A5" s="24" t="inlineStr">
        <is>
          <t>Fornecedor</t>
        </is>
      </c>
      <c r="B5" s="2" t="inlineStr">
        <is>
          <t>Lunfe Malhas — fabricação própria, Itajaí-SC</t>
        </is>
      </c>
    </row>
    <row r="6">
      <c r="A6" s="24" t="inlineStr">
        <is>
          <t>Referência</t>
        </is>
      </c>
      <c r="B6" s="2" t="inlineStr">
        <is>
          <t>7892671730958 (EAN-13)</t>
        </is>
      </c>
    </row>
    <row r="7">
      <c r="A7" s="24" t="inlineStr">
        <is>
          <t>URL</t>
        </is>
      </c>
      <c r="B7" s="2" t="inlineStr">
        <is>
          <t>lunfemalhas.com.br/moletom-canguru-peluciado-260g-capuz-cordao-atacado-lunfe</t>
        </is>
      </c>
    </row>
    <row r="8">
      <c r="A8" s="24" t="inlineStr">
        <is>
          <t>Categoria no site</t>
        </is>
      </c>
      <c r="B8" s="2" t="inlineStr">
        <is>
          <t>Inverno</t>
        </is>
      </c>
    </row>
    <row r="9">
      <c r="A9" s="24" t="inlineStr">
        <is>
          <t>Linha HMZT recomendada</t>
        </is>
      </c>
      <c r="B9" s="2" t="inlineStr">
        <is>
          <t>Inverno — Hoodie (moletom canguru, peça de desejo)</t>
        </is>
      </c>
    </row>
    <row r="10">
      <c r="A10" s="24" t="inlineStr">
        <is>
          <t>Estoque</t>
        </is>
      </c>
      <c r="B10" s="8" t="inlineStr">
        <is>
          <t>🔴 'Esse acabou' na página; FAQ: '5 cores em estoque, despacho 24h' ⚠️</t>
        </is>
      </c>
    </row>
    <row r="11">
      <c r="A11" s="24" t="inlineStr">
        <is>
          <t>Descritor canônico (IA)</t>
        </is>
      </c>
      <c r="B11" s="2" t="inlineStr">
        <is>
          <t>Moletom masculino canguru regular fit em moletinho 2 cabos peluciado por dentro, 50% algodão / 50% poliéster: capuz duplo encorpado com cordão chato cru contrastante, bolso canguru frontal com aberturas laterais, mangas set-in, punhos e barra em ribana. Fosco, macio. Peça lisa.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50% algodão + 50% poliéster</t>
        </is>
      </c>
      <c r="C15" s="29" t="n"/>
      <c r="D15" s="29" t="n"/>
      <c r="E15" s="30" t="n"/>
    </row>
    <row r="16">
      <c r="A16" s="10" t="inlineStr">
        <is>
          <t>Construção</t>
        </is>
      </c>
      <c r="B16" s="10" t="inlineStr">
        <is>
          <t>Moletinho 2 cabos com peluciado interno (escovado)</t>
        </is>
      </c>
      <c r="C16" s="29" t="n"/>
      <c r="D16" s="29" t="n"/>
      <c r="E16" s="30" t="n"/>
    </row>
    <row r="17">
      <c r="A17" s="10" t="inlineStr">
        <is>
          <t>Gramatura</t>
        </is>
      </c>
      <c r="B17" s="10" t="inlineStr">
        <is>
          <t>260 g/m² (texto) · ⚠️ arquivos das fotos: '240gsm'</t>
        </is>
      </c>
      <c r="C17" s="29" t="n"/>
      <c r="D17" s="29" t="n"/>
      <c r="E17" s="30" t="n"/>
    </row>
    <row r="18">
      <c r="A18" s="10" t="inlineStr">
        <is>
          <t>Modelagem</t>
        </is>
      </c>
      <c r="B18" s="10" t="inlineStr">
        <is>
          <t>Regular fit com capuz</t>
        </is>
      </c>
      <c r="C18" s="29" t="n"/>
      <c r="D18" s="29" t="n"/>
      <c r="E18" s="30" t="n"/>
    </row>
    <row r="19">
      <c r="A19" s="10" t="inlineStr">
        <is>
          <t>Capuz</t>
        </is>
      </c>
      <c r="B19" s="10" t="inlineStr">
        <is>
          <t>Duplo (duas camadas) com cordão contrastante creme/natural</t>
        </is>
      </c>
      <c r="C19" s="29" t="n"/>
      <c r="D19" s="29" t="n"/>
      <c r="E19" s="30" t="n"/>
    </row>
    <row r="20">
      <c r="A20" s="10" t="inlineStr">
        <is>
          <t>Bolso</t>
        </is>
      </c>
      <c r="B20" s="10" t="inlineStr">
        <is>
          <t>Canguru frontal, aberturas laterais, interior peluciado</t>
        </is>
      </c>
      <c r="C20" s="29" t="n"/>
      <c r="D20" s="29" t="n"/>
      <c r="E20" s="30" t="n"/>
    </row>
    <row r="21">
      <c r="A21" s="10" t="inlineStr">
        <is>
          <t>Punhos</t>
        </is>
      </c>
      <c r="B21" s="10" t="inlineStr">
        <is>
          <t>Ribana canelada</t>
        </is>
      </c>
      <c r="C21" s="29" t="n"/>
      <c r="D21" s="29" t="n"/>
      <c r="E21" s="30" t="n"/>
    </row>
    <row r="22">
      <c r="A22" s="10" t="inlineStr">
        <is>
          <t>Barra</t>
        </is>
      </c>
      <c r="B22" s="10" t="inlineStr">
        <is>
          <t>Ribana canelada</t>
        </is>
      </c>
      <c r="C22" s="29" t="n"/>
      <c r="D22" s="29" t="n"/>
      <c r="E22" s="30" t="n"/>
    </row>
    <row r="23">
      <c r="A23" s="10" t="inlineStr">
        <is>
          <t>Acabamentos</t>
        </is>
      </c>
      <c r="B23" s="10" t="inlineStr">
        <is>
          <t>Costura reforçada; ombro a ombro com fita interna; cordão fixado internamente</t>
        </is>
      </c>
      <c r="C23" s="29" t="n"/>
      <c r="D23" s="29" t="n"/>
      <c r="E23" s="30" t="n"/>
    </row>
    <row r="24">
      <c r="A24" s="10" t="inlineStr">
        <is>
          <t>Tratamentos</t>
        </is>
      </c>
      <c r="B24" s="10" t="inlineStr">
        <is>
          <t>Pré-encolhimento industrial; fixação de cor de alta solidez</t>
        </is>
      </c>
      <c r="C24" s="29" t="n"/>
      <c r="D24" s="29" t="n"/>
      <c r="E24" s="30" t="n"/>
    </row>
    <row r="25">
      <c r="A25" s="10" t="inlineStr">
        <is>
          <t>Anti-pilling</t>
        </is>
      </c>
      <c r="B25" s="10" t="inlineStr">
        <is>
          <t>'Superfície que resiste a bolinhas'</t>
        </is>
      </c>
      <c r="C25" s="29" t="n"/>
      <c r="D25" s="29" t="n"/>
      <c r="E25" s="30" t="n"/>
    </row>
    <row r="26">
      <c r="A26" s="10" t="inlineStr">
        <is>
          <t>Tamanhos</t>
        </is>
      </c>
      <c r="B26" s="10" t="inlineStr">
        <is>
          <t>P ao EG (5)</t>
        </is>
      </c>
      <c r="C26" s="29" t="n"/>
      <c r="D26" s="29" t="n"/>
      <c r="E26" s="30" t="n"/>
    </row>
    <row r="27">
      <c r="A27" s="10" t="inlineStr">
        <is>
          <t>Produção</t>
        </is>
      </c>
      <c r="B27" s="10" t="inlineStr">
        <is>
          <t>Fabricação própria — Itajaí-SC</t>
        </is>
      </c>
      <c r="C27" s="29" t="n"/>
      <c r="D27" s="29" t="n"/>
      <c r="E27" s="30" t="n"/>
    </row>
    <row r="28">
      <c r="A28" s="10" t="inlineStr">
        <is>
          <t>Modelo das fotos</t>
        </is>
      </c>
      <c r="B28" s="10" t="inlineStr">
        <is>
          <t>1,84 m · 84 kg · veste M</t>
        </is>
      </c>
      <c r="C28" s="29" t="n"/>
      <c r="D28" s="29" t="n"/>
      <c r="E28" s="30" t="n"/>
    </row>
    <row r="30">
      <c r="A30" s="27" t="inlineStr">
        <is>
          <t>3. Tabela de medidas (cm)</t>
        </is>
      </c>
      <c r="B30" s="28" t="n"/>
      <c r="C30" s="28" t="n"/>
      <c r="D30" s="28" t="n"/>
      <c r="E30" s="28" t="n"/>
      <c r="F30" s="28" t="n"/>
    </row>
    <row r="31">
      <c r="A31" s="9" t="inlineStr">
        <is>
          <t>Tamanho</t>
        </is>
      </c>
      <c r="B31" s="9" t="inlineStr">
        <is>
          <t>Comprimento</t>
        </is>
      </c>
      <c r="C31" s="9" t="inlineStr">
        <is>
          <t>Largura</t>
        </is>
      </c>
      <c r="D31" s="9" t="inlineStr">
        <is>
          <t>Ombros</t>
        </is>
      </c>
      <c r="E31" s="9" t="inlineStr">
        <is>
          <t>Mangas</t>
        </is>
      </c>
    </row>
    <row r="32">
      <c r="A32" s="10" t="inlineStr">
        <is>
          <t>P</t>
        </is>
      </c>
      <c r="B32" s="11" t="n">
        <v>70</v>
      </c>
      <c r="C32" s="11" t="n">
        <v>52</v>
      </c>
      <c r="D32" s="11" t="n">
        <v>44</v>
      </c>
      <c r="E32" s="11" t="n">
        <v>60</v>
      </c>
    </row>
    <row r="33">
      <c r="A33" s="10" t="inlineStr">
        <is>
          <t>M</t>
        </is>
      </c>
      <c r="B33" s="11" t="n">
        <v>72</v>
      </c>
      <c r="C33" s="11" t="n">
        <v>54</v>
      </c>
      <c r="D33" s="11" t="n">
        <v>46</v>
      </c>
      <c r="E33" s="11" t="n">
        <v>62</v>
      </c>
    </row>
    <row r="34">
      <c r="A34" s="10" t="inlineStr">
        <is>
          <t>G</t>
        </is>
      </c>
      <c r="B34" s="11" t="n">
        <v>74</v>
      </c>
      <c r="C34" s="11" t="n">
        <v>56</v>
      </c>
      <c r="D34" s="11" t="n">
        <v>48</v>
      </c>
      <c r="E34" s="11" t="n">
        <v>64</v>
      </c>
    </row>
    <row r="35">
      <c r="A35" s="10" t="inlineStr">
        <is>
          <t>GG</t>
        </is>
      </c>
      <c r="B35" s="11" t="n">
        <v>76</v>
      </c>
      <c r="C35" s="11" t="n">
        <v>58</v>
      </c>
      <c r="D35" s="11" t="n">
        <v>50</v>
      </c>
      <c r="E35" s="11" t="n">
        <v>66</v>
      </c>
    </row>
    <row r="36">
      <c r="A36" s="10" t="inlineStr">
        <is>
          <t>EG</t>
        </is>
      </c>
      <c r="B36" s="11" t="n">
        <v>78</v>
      </c>
      <c r="C36" s="11" t="n">
        <v>60</v>
      </c>
      <c r="D36" s="11" t="n">
        <v>52</v>
      </c>
      <c r="E36" s="11" t="n">
        <v>68</v>
      </c>
    </row>
    <row r="37" ht="30" customHeight="1">
      <c r="A37" s="2" t="inlineStr">
        <is>
          <t>Em cm, ± 2 cm. Manga do ombro ao fim do punho. Tabela idêntica à do P26. ⚠️ Faltam altura do capuz, largura/profundidade do bolso canguru, altura de punho e barra.</t>
        </is>
      </c>
    </row>
    <row r="38">
      <c r="A38" s="15" t="inlineStr">
        <is>
          <t>Modelo das fotos: 1,84 m · 84 kg · veste M</t>
        </is>
      </c>
    </row>
    <row r="40">
      <c r="A40" s="27" t="inlineStr">
        <is>
          <t>4. Cores disponíveis</t>
        </is>
      </c>
      <c r="B40" s="28" t="n"/>
      <c r="C40" s="28" t="n"/>
      <c r="D40" s="28" t="n"/>
      <c r="E40" s="28" t="n"/>
      <c r="F40" s="28" t="n"/>
    </row>
    <row r="41">
      <c r="A41" s="9" t="inlineStr">
        <is>
          <t>Cor</t>
        </is>
      </c>
      <c r="B41" s="9" t="inlineStr">
        <is>
          <t>Código HMZT</t>
        </is>
      </c>
      <c r="C41" s="9" t="inlineStr">
        <is>
          <t>Ref. fornecedor</t>
        </is>
      </c>
      <c r="D41" s="9" t="inlineStr">
        <is>
          <t>Observação</t>
        </is>
      </c>
    </row>
    <row r="42">
      <c r="A42" s="10" t="inlineStr">
        <is>
          <t>Preto</t>
        </is>
      </c>
      <c r="B42" s="10" t="inlineStr">
        <is>
          <t>PRT</t>
        </is>
      </c>
      <c r="C42" s="10" t="inlineStr">
        <is>
          <t>MOL-CG-PRT</t>
        </is>
      </c>
      <c r="D42" s="10" t="inlineStr">
        <is>
          <t>Fotos #5–#7</t>
        </is>
      </c>
    </row>
    <row r="43">
      <c r="A43" s="10" t="inlineStr">
        <is>
          <t>Marinho</t>
        </is>
      </c>
      <c r="B43" s="10" t="inlineStr">
        <is>
          <t>MAR</t>
        </is>
      </c>
      <c r="C43" s="10" t="inlineStr">
        <is>
          <t>MOL-CG-MRN</t>
        </is>
      </c>
      <c r="D43" s="10" t="inlineStr">
        <is>
          <t>Fotos #12–#15</t>
        </is>
      </c>
    </row>
    <row r="44">
      <c r="A44" s="10" t="inlineStr">
        <is>
          <t>Off White</t>
        </is>
      </c>
      <c r="B44" s="10" t="inlineStr">
        <is>
          <t>OFF</t>
        </is>
      </c>
      <c r="C44" s="10" t="inlineStr">
        <is>
          <t>MOL-CG-OFW</t>
        </is>
      </c>
      <c r="D44" s="10" t="inlineStr">
        <is>
          <t>Fotos #8–#11 — cordão creme quase some</t>
        </is>
      </c>
    </row>
    <row r="45">
      <c r="A45" s="10" t="inlineStr">
        <is>
          <t>Bege</t>
        </is>
      </c>
      <c r="B45" s="10" t="inlineStr">
        <is>
          <t>BGE</t>
        </is>
      </c>
      <c r="C45" s="10" t="inlineStr">
        <is>
          <t>MOL-CG-BGE</t>
        </is>
      </c>
      <c r="D45" s="10" t="inlineStr">
        <is>
          <t>Fotos #1–#4 — lê como camelo/areia quente</t>
        </is>
      </c>
    </row>
    <row r="46">
      <c r="A46" s="10" t="inlineStr">
        <is>
          <t>Marrom</t>
        </is>
      </c>
      <c r="B46" s="10" t="inlineStr">
        <is>
          <t>MRR</t>
        </is>
      </c>
      <c r="C46" s="10" t="inlineStr">
        <is>
          <t>MOL-CG-MRR</t>
        </is>
      </c>
      <c r="D46" s="10" t="inlineStr">
        <is>
          <t>Sem foto</t>
        </is>
      </c>
    </row>
    <row r="47" ht="30" customHeight="1">
      <c r="A47" s="2" t="inlineStr">
        <is>
          <t>5 cores com referência; Marrom sem foto. Cordão creme/natural padrão em todas; cordão na cor da marca a partir de 50 pç.</t>
        </is>
      </c>
    </row>
    <row r="49">
      <c r="A49" s="27" t="inlineStr">
        <is>
          <t>5. Personalização (preço sempre sob orçamento)</t>
        </is>
      </c>
      <c r="B49" s="28" t="n"/>
      <c r="C49" s="28" t="n"/>
      <c r="D49" s="28" t="n"/>
      <c r="E49" s="28" t="n"/>
      <c r="F49" s="28" t="n"/>
    </row>
    <row r="50">
      <c r="A50" s="9" t="inlineStr">
        <is>
          <t>Técnica</t>
        </is>
      </c>
      <c r="B50" s="9" t="inlineStr">
        <is>
          <t>Detalhe</t>
        </is>
      </c>
      <c r="C50" s="9" t="inlineStr">
        <is>
          <t>Mínimo</t>
        </is>
      </c>
    </row>
    <row r="51">
      <c r="A51" s="10" t="inlineStr">
        <is>
          <t>Bordado</t>
        </is>
      </c>
      <c r="B51" s="10" t="inlineStr">
        <is>
          <t>Peito acima do bolso, mangas, capuz — 🟢 recomendado; ⚠️ usar entretela</t>
        </is>
      </c>
      <c r="C51" s="10" t="inlineStr">
        <is>
          <t>20 pç</t>
        </is>
      </c>
    </row>
    <row r="52">
      <c r="A52" s="10" t="inlineStr">
        <is>
          <t>Silk base d'água</t>
        </is>
      </c>
      <c r="B52" s="10" t="inlineStr">
        <is>
          <t>Frente (acima/abaixo do bolso), costas full, mangas, capuz</t>
        </is>
      </c>
      <c r="C52" s="10" t="inlineStr">
        <is>
          <t>20 pç</t>
        </is>
      </c>
    </row>
    <row r="53">
      <c r="A53" s="10" t="inlineStr">
        <is>
          <t>DTF</t>
        </is>
      </c>
      <c r="B53" s="10" t="inlineStr">
        <is>
          <t>Full color — costas</t>
        </is>
      </c>
      <c r="C53" s="10" t="inlineStr">
        <is>
          <t>20 pç</t>
        </is>
      </c>
    </row>
    <row r="54">
      <c r="A54" s="10" t="inlineStr">
        <is>
          <t>Sublimação</t>
        </is>
      </c>
      <c r="B54" s="14" t="inlineStr">
        <is>
          <t>⚠️ 'Parcial' em 50/50 — resultado lavado; não usar</t>
        </is>
      </c>
      <c r="C54" s="10" t="inlineStr">
        <is>
          <t>20 pç</t>
        </is>
      </c>
    </row>
    <row r="55">
      <c r="A55" s="10" t="inlineStr">
        <is>
          <t>Cordão personalizado</t>
        </is>
      </c>
      <c r="B55" s="10" t="inlineStr">
        <is>
          <t>Cor da marca no lugar do creme</t>
        </is>
      </c>
      <c r="C55" s="10" t="inlineStr">
        <is>
          <t>50 pç</t>
        </is>
      </c>
    </row>
    <row r="56">
      <c r="A56" s="10" t="inlineStr">
        <is>
          <t>Etiqueta private label</t>
        </is>
      </c>
      <c r="B56" s="10" t="inlineStr">
        <is>
          <t>Interna + tag</t>
        </is>
      </c>
      <c r="C56" s="10" t="inlineStr">
        <is>
          <t>20 pç</t>
        </is>
      </c>
    </row>
    <row r="57">
      <c r="A57" s="10" t="inlineStr">
        <is>
          <t>Embalagem customizada</t>
        </is>
      </c>
      <c r="B57" s="10" t="inlineStr">
        <is>
          <t>Saco, caixa, tag</t>
        </is>
      </c>
      <c r="C57" s="10" t="inlineStr">
        <is>
          <t>50 pç</t>
        </is>
      </c>
    </row>
    <row r="58">
      <c r="A58" s="10" t="inlineStr">
        <is>
          <t>Cor Pantone</t>
        </is>
      </c>
      <c r="B58" s="10" t="inlineStr">
        <is>
          <t>15–25 dias úteis</t>
        </is>
      </c>
      <c r="C58" s="10" t="inlineStr">
        <is>
          <t>100 pç/cor</t>
        </is>
      </c>
    </row>
    <row r="59">
      <c r="A59" s="10" t="inlineStr">
        <is>
          <t>Preço</t>
        </is>
      </c>
      <c r="B59" s="10" t="inlineStr">
        <is>
          <t>Sob orçamento</t>
        </is>
      </c>
      <c r="C59" s="10" t="inlineStr">
        <is>
          <t>—</t>
        </is>
      </c>
    </row>
    <row r="61">
      <c r="A61" s="27" t="inlineStr">
        <is>
          <t>6. Preços do fornecedor (desconto progressivo)</t>
        </is>
      </c>
      <c r="B61" s="28" t="n"/>
      <c r="C61" s="28" t="n"/>
      <c r="D61" s="28" t="n"/>
      <c r="E61" s="28" t="n"/>
      <c r="F61" s="28" t="n"/>
    </row>
    <row r="62">
      <c r="A62" s="24" t="inlineStr">
        <is>
          <t>Preço base (R$)</t>
        </is>
      </c>
      <c r="B62" s="31" t="n">
        <v>62</v>
      </c>
    </row>
    <row r="63">
      <c r="A63" s="17" t="inlineStr">
        <is>
          <t>Faixa</t>
        </is>
      </c>
      <c r="B63" s="17" t="inlineStr">
        <is>
          <t>Peças</t>
        </is>
      </c>
      <c r="C63" s="17" t="inlineStr">
        <is>
          <t>Desconto</t>
        </is>
      </c>
      <c r="D63" s="17" t="inlineStr">
        <is>
          <t>Preço unitário</t>
        </is>
      </c>
      <c r="E63" s="17" t="inlineStr">
        <is>
          <t>Preço + Pix</t>
        </is>
      </c>
    </row>
    <row r="64">
      <c r="A64" s="18" t="inlineStr">
        <is>
          <t>Faixa 1</t>
        </is>
      </c>
      <c r="B64" s="18" t="inlineStr">
        <is>
          <t>20–40</t>
        </is>
      </c>
      <c r="C64" s="32">
        <f>'Regras Fornecedor'!$D$4</f>
        <v/>
      </c>
      <c r="D64" s="33">
        <f>ROUND($B$62*(1-C64),2)</f>
        <v/>
      </c>
      <c r="E64" s="34">
        <f>ROUND(D64*(1-'Regras Fornecedor'!$B$10),2)</f>
        <v/>
      </c>
    </row>
    <row r="65">
      <c r="A65" s="18" t="inlineStr">
        <is>
          <t>Faixa 2</t>
        </is>
      </c>
      <c r="B65" s="18" t="inlineStr">
        <is>
          <t>40–80</t>
        </is>
      </c>
      <c r="C65" s="32">
        <f>'Regras Fornecedor'!$D$5</f>
        <v/>
      </c>
      <c r="D65" s="33">
        <f>ROUND($B$62*(1-C65),2)</f>
        <v/>
      </c>
      <c r="E65" s="34">
        <f>ROUND(D65*(1-'Regras Fornecedor'!$B$10),2)</f>
        <v/>
      </c>
    </row>
    <row r="66">
      <c r="A66" s="18" t="inlineStr">
        <is>
          <t>Faixa 3</t>
        </is>
      </c>
      <c r="B66" s="18" t="inlineStr">
        <is>
          <t>80–100</t>
        </is>
      </c>
      <c r="C66" s="32">
        <f>'Regras Fornecedor'!$D$6</f>
        <v/>
      </c>
      <c r="D66" s="33">
        <f>ROUND($B$62*(1-C66),2)</f>
        <v/>
      </c>
      <c r="E66" s="34">
        <f>ROUND(D66*(1-'Regras Fornecedor'!$B$10),2)</f>
        <v/>
      </c>
    </row>
    <row r="67">
      <c r="A67" s="18" t="inlineStr">
        <is>
          <t>Faixa 4</t>
        </is>
      </c>
      <c r="B67" s="18" t="inlineStr">
        <is>
          <t>100–300</t>
        </is>
      </c>
      <c r="C67" s="32">
        <f>'Regras Fornecedor'!$D$7</f>
        <v/>
      </c>
      <c r="D67" s="33">
        <f>ROUND($B$62*(1-C67),2)</f>
        <v/>
      </c>
      <c r="E67" s="34">
        <f>ROUND(D67*(1-'Regras Fornecedor'!$B$10),2)</f>
        <v/>
      </c>
    </row>
    <row r="68">
      <c r="A68" s="18" t="inlineStr">
        <is>
          <t>Faixa 5</t>
        </is>
      </c>
      <c r="B68" s="18" t="inlineStr">
        <is>
          <t>300–999</t>
        </is>
      </c>
      <c r="C68" s="32">
        <f>'Regras Fornecedor'!$D$8</f>
        <v/>
      </c>
      <c r="D68" s="33">
        <f>ROUND($B$62*(1-C68),2)</f>
        <v/>
      </c>
      <c r="E68" s="34">
        <f>ROUND(D68*(1-'Regras Fornecedor'!$B$10),2)</f>
        <v/>
      </c>
    </row>
    <row r="70">
      <c r="A70" s="27" t="inlineStr">
        <is>
          <t>7. Custo HMZT e margem (lote de 20 peças, Pix)</t>
        </is>
      </c>
      <c r="B70" s="28" t="n"/>
      <c r="C70" s="28" t="n"/>
      <c r="D70" s="28" t="n"/>
      <c r="E70" s="28" t="n"/>
      <c r="F70" s="28" t="n"/>
    </row>
    <row r="71">
      <c r="A71" s="24" t="inlineStr">
        <is>
          <t>Peça (20 pç, Pix)</t>
        </is>
      </c>
      <c r="B71" s="35">
        <f>E64</f>
        <v/>
      </c>
    </row>
    <row r="72">
      <c r="A72" s="24" t="inlineStr">
        <is>
          <t>Personalização + etiqueta + tag (R$/pç)</t>
        </is>
      </c>
      <c r="B72" s="36" t="n">
        <v>10</v>
      </c>
      <c r="C72" s="15" t="inlineStr">
        <is>
          <t>Estimativa HMZT — trocar pelo orçamento real</t>
        </is>
      </c>
    </row>
    <row r="73">
      <c r="A73" s="24" t="inlineStr">
        <is>
          <t>Frete rateado + embalagem (R$/pç)</t>
        </is>
      </c>
      <c r="B73" s="36" t="n">
        <v>7</v>
      </c>
      <c r="C73" s="15" t="inlineStr">
        <is>
          <t>Estimativa HMZT — trocar pelo orçamento real</t>
        </is>
      </c>
    </row>
    <row r="74">
      <c r="A74" s="24" t="inlineStr">
        <is>
          <t>Custo unitário estimado</t>
        </is>
      </c>
      <c r="B74" s="37">
        <f>SUM(B71:B73)</f>
        <v/>
      </c>
    </row>
    <row r="75">
      <c r="A75" s="24" t="inlineStr">
        <is>
          <t>Preço de venda HMZT (R$)</t>
        </is>
      </c>
      <c r="B75" s="36" t="n">
        <v>199</v>
      </c>
      <c r="C75" s="15" t="inlineStr">
        <is>
          <t>Sugestão do dossiê — ajustar</t>
        </is>
      </c>
    </row>
    <row r="76">
      <c r="A76" s="24" t="inlineStr">
        <is>
          <t>Impostos + gateway (% do preço)</t>
        </is>
      </c>
      <c r="B76" s="38" t="n">
        <v>0</v>
      </c>
      <c r="C76" s="15" t="inlineStr">
        <is>
          <t>A preencher (Simples + taxa Asaas)</t>
        </is>
      </c>
    </row>
    <row r="77">
      <c r="A77" s="24" t="inlineStr">
        <is>
          <t>Margem bruta (R$)</t>
        </is>
      </c>
      <c r="B77" s="35">
        <f>B75-B74</f>
        <v/>
      </c>
    </row>
    <row r="78">
      <c r="A78" s="24" t="inlineStr">
        <is>
          <t>Margem bruta (%)</t>
        </is>
      </c>
      <c r="B78" s="39">
        <f>IF(B75=0,0,(B75-B74)/B75)</f>
        <v/>
      </c>
    </row>
    <row r="79">
      <c r="A79" s="24" t="inlineStr">
        <is>
          <t>Margem após impostos/gateway (%)</t>
        </is>
      </c>
      <c r="B79" s="39">
        <f>IF(B75=0,0,(B75*(1-B76)-B74)/B75)</f>
        <v/>
      </c>
      <c r="C79" s="15" t="inlineStr">
        <is>
          <t>Ainda sem frete ao cliente e mídia</t>
        </is>
      </c>
    </row>
    <row r="81">
      <c r="A81" s="27" t="inlineStr">
        <is>
          <t>8. Contradições e erros ⚠️</t>
        </is>
      </c>
      <c r="B81" s="28" t="n"/>
      <c r="C81" s="28" t="n"/>
      <c r="D81" s="28" t="n"/>
      <c r="E81" s="28" t="n"/>
      <c r="F81" s="28" t="n"/>
    </row>
    <row r="82">
      <c r="A82" s="8" t="inlineStr">
        <is>
          <t>⚠️ Gramatura: página e ficha dizem 260 g; TODOS os 15 arquivos de foto se chamam 'moletom_canguru_2_cabos_basico_240gsm'. Ou a foto é de outro produto (240 g, 'básico'), ou a gramatura mudou.</t>
        </is>
      </c>
    </row>
    <row r="83">
      <c r="A83" s="8" t="inlineStr">
        <is>
          <t>⚠️ Nome dos arquivos diz 'básico' e não 'peluciado' — pode ser uma versão anterior sem escovação.</t>
        </is>
      </c>
    </row>
    <row r="84">
      <c r="A84" s="8" t="inlineStr">
        <is>
          <t>⚠️ Cor: aqui o texto diz que o ALGODÃO dá 'fixação de cor superior em tons escuros'; no P26 diz que é o POLIÉSTER.</t>
        </is>
      </c>
    </row>
    <row r="85">
      <c r="A85" s="8" t="inlineStr">
        <is>
          <t>⚠️ 'Dois fios torcidos juntos antes da tecelagem' — moletom é malha, não tecelagem; '2 cabos' não é fio retorcido.</t>
        </is>
      </c>
    </row>
    <row r="86">
      <c r="A86" s="8" t="inlineStr">
        <is>
          <t>⚠️ Tabela comparativa cita 'Gola Careca 260g R$ 54,00' e 'Moletom 100% CO 320g' — produtos não catalogados; o gola careca que temos (P26) é 320 g e R$ 59,00.</t>
        </is>
      </c>
    </row>
    <row r="87">
      <c r="A87" s="8" t="inlineStr">
        <is>
          <t>⚠️ Estoque: 'Esse acabou' × FAQ '5 cores em estoque'.</t>
        </is>
      </c>
    </row>
    <row r="88">
      <c r="A88" s="8" t="inlineStr">
        <is>
          <t>⚠️ Sublimação 'com resultado aceitável' em 50/50 — resultado lavado.</t>
        </is>
      </c>
    </row>
    <row r="90">
      <c r="A90" s="27" t="inlineStr">
        <is>
          <t>9. Comunicação HMZT</t>
        </is>
      </c>
      <c r="B90" s="28" t="n"/>
      <c r="C90" s="28" t="n"/>
      <c r="D90" s="28" t="n"/>
      <c r="E90" s="28" t="n"/>
      <c r="F90" s="28" t="n"/>
    </row>
    <row r="91">
      <c r="A91" s="24" t="inlineStr">
        <is>
          <t>✅ Pode usar</t>
        </is>
      </c>
      <c r="D91" s="24" t="inlineStr">
        <is>
          <t>📣 / ⛔ Não usar</t>
        </is>
      </c>
    </row>
    <row r="92">
      <c r="A92" s="40" t="inlineStr">
        <is>
          <t>"Moletom com capuz duplo e cordão contrastante."</t>
        </is>
      </c>
      <c r="D92" s="8" t="inlineStr">
        <is>
          <t>📣 "Maior taxa de conversão por impulso emocional", "compra por desejo", "resistência a desconto".</t>
        </is>
      </c>
    </row>
    <row r="93">
      <c r="A93" s="40" t="inlineStr">
        <is>
          <t>"Peluciado por dentro, inclusive no bolso canguru."</t>
        </is>
      </c>
      <c r="D93" s="8" t="inlineStr">
        <is>
          <t>📣 "Maior velocidade de giro", "entra e sai rápido".</t>
        </is>
      </c>
    </row>
    <row r="94">
      <c r="A94" s="40" t="inlineStr">
        <is>
          <t>"50% algodão, 50% poliéster — pré-encolhido."</t>
        </is>
      </c>
      <c r="D94" s="8" t="inlineStr">
        <is>
          <t>📣 "O detalhe de R$ 0 que adiciona R$ 30 ao valor percebido".</t>
        </is>
      </c>
    </row>
    <row r="95">
      <c r="A95" s="40" t="inlineStr">
        <is>
          <t>"Punhos e barra em ribana; costura ombro a ombro com fita."</t>
        </is>
      </c>
      <c r="D95" s="8" t="inlineStr">
        <is>
          <t>📣 "Nossa, até dentro do bolso é macio" (boca a boca inventado).</t>
        </is>
      </c>
    </row>
    <row r="96">
      <c r="A96" s="40" t="inlineStr">
        <is>
          <t>"Fabricado em Santa Catarina."</t>
        </is>
      </c>
      <c r="D96" s="8" t="inlineStr">
        <is>
          <t>📣 "Um dos termos com maior volume de busca" (sem dado).</t>
        </is>
      </c>
    </row>
    <row r="97">
      <c r="A97" s="40" t="inlineStr">
        <is>
          <t>Gramatura — SÓ depois de confirmar 260 × 240.</t>
        </is>
      </c>
      <c r="D97" s="8" t="inlineStr">
        <is>
          <t>📣 Margens de 64–86%.</t>
        </is>
      </c>
    </row>
    <row r="99">
      <c r="A99" s="27" t="inlineStr">
        <is>
          <t>10. Pendências com o fornecedor</t>
        </is>
      </c>
      <c r="B99" s="28" t="n"/>
      <c r="C99" s="28" t="n"/>
      <c r="D99" s="28" t="n"/>
      <c r="E99" s="28" t="n"/>
      <c r="F99" s="28" t="n"/>
    </row>
    <row r="100">
      <c r="A100" s="9" t="inlineStr">
        <is>
          <t>Pendência</t>
        </is>
      </c>
      <c r="B100" s="9" t="inlineStr">
        <is>
          <t>Status</t>
        </is>
      </c>
      <c r="C100" s="9" t="inlineStr">
        <is>
          <t>Responsável</t>
        </is>
      </c>
      <c r="D100" s="9" t="inlineStr">
        <is>
          <t>Resposta</t>
        </is>
      </c>
    </row>
    <row r="101">
      <c r="A101" s="10" t="inlineStr">
        <is>
          <t>Gramatura real: 260 g (texto) ou 240 g (arquivos das fotos)?</t>
        </is>
      </c>
      <c r="B101" s="11" t="inlineStr">
        <is>
          <t>Aberta</t>
        </is>
      </c>
      <c r="C101" s="11" t="inlineStr"/>
      <c r="D101" s="11" t="inlineStr"/>
    </row>
    <row r="102">
      <c r="A102" s="10" t="inlineStr">
        <is>
          <t>As fotos são desta peça (peluciada) ou do 'básico 240gsm'?</t>
        </is>
      </c>
      <c r="B102" s="11" t="inlineStr">
        <is>
          <t>Aberta</t>
        </is>
      </c>
      <c r="C102" s="11" t="inlineStr"/>
      <c r="D102" s="11" t="inlineStr"/>
    </row>
    <row r="103">
      <c r="A103" s="10" t="inlineStr">
        <is>
          <t>Foto/amostra do Marrom</t>
        </is>
      </c>
      <c r="B103" s="11" t="inlineStr">
        <is>
          <t>Aberta</t>
        </is>
      </c>
      <c r="C103" s="11" t="inlineStr"/>
      <c r="D103" s="11" t="inlineStr"/>
    </row>
    <row r="104">
      <c r="A104" s="10" t="inlineStr">
        <is>
          <t>Medidas do capuz e do bolso</t>
        </is>
      </c>
      <c r="B104" s="11" t="inlineStr">
        <is>
          <t>Aberta</t>
        </is>
      </c>
      <c r="C104" s="11" t="inlineStr"/>
      <c r="D104" s="11" t="inlineStr"/>
    </row>
    <row r="105">
      <c r="A105" s="10" t="inlineStr">
        <is>
          <t>Estoque real</t>
        </is>
      </c>
      <c r="B105" s="11" t="inlineStr">
        <is>
          <t>Aberta</t>
        </is>
      </c>
      <c r="C105" s="11" t="inlineStr"/>
      <c r="D105" s="11" t="inlineStr"/>
    </row>
    <row r="106">
      <c r="A106" s="10" t="inlineStr">
        <is>
          <t>Orçamento: bordado peito + etiqueta + cordão personalizado</t>
        </is>
      </c>
      <c r="B106" s="11" t="inlineStr">
        <is>
          <t>Aberta</t>
        </is>
      </c>
      <c r="C106" s="11" t="inlineStr"/>
      <c r="D106" s="11" t="inlineStr"/>
    </row>
    <row r="108">
      <c r="A108" s="27" t="inlineStr">
        <is>
          <t>11. Fluxo de prompts de lookbook (docs/shop-confeccao/prompts/P28-prompts.md)</t>
        </is>
      </c>
      <c r="B108" s="28" t="n"/>
      <c r="C108" s="28" t="n"/>
      <c r="D108" s="28" t="n"/>
      <c r="E108" s="28" t="n"/>
      <c r="F108" s="28" t="n"/>
    </row>
    <row r="109">
      <c r="A109" s="9" t="inlineStr">
        <is>
          <t>Foto</t>
        </is>
      </c>
      <c r="B109" s="9" t="inlineStr">
        <is>
          <t>Origem no print</t>
        </is>
      </c>
      <c r="C109" s="9" t="inlineStr">
        <is>
          <t>Formato</t>
        </is>
      </c>
      <c r="D109" s="9" t="inlineStr">
        <is>
          <t>Status</t>
        </is>
      </c>
    </row>
    <row r="110">
      <c r="A110" s="10" t="inlineStr">
        <is>
          <t>F1 — 3/4 ajustando o punho</t>
        </is>
      </c>
      <c r="B110" s="10" t="inlineStr">
        <is>
          <t>Origem: foto #1 (bege/camelo, 3/4, olhar para o lado)</t>
        </is>
      </c>
      <c r="C110" s="10" t="inlineStr">
        <is>
          <t>4:5</t>
        </is>
      </c>
      <c r="D110" s="11" t="inlineStr">
        <is>
          <t>A gerar</t>
        </is>
      </c>
    </row>
    <row r="111">
      <c r="A111" s="10" t="inlineStr">
        <is>
          <t>F2 — Frontal mãos atrás</t>
        </is>
      </c>
      <c r="B111" s="10" t="inlineStr">
        <is>
          <t>Origem: foto #2 (bege/camelo, frontal)</t>
        </is>
      </c>
      <c r="C111" s="10" t="inlineStr">
        <is>
          <t>4:5</t>
        </is>
      </c>
      <c r="D111" s="11" t="inlineStr">
        <is>
          <t>A gerar</t>
        </is>
      </c>
    </row>
    <row r="112">
      <c r="A112" s="10" t="inlineStr">
        <is>
          <t>F3 — Costas, rosto de perfil</t>
        </is>
      </c>
      <c r="B112" s="10" t="inlineStr">
        <is>
          <t>Origem: foto #3 (bege/camelo, costas)</t>
        </is>
      </c>
      <c r="C112" s="10" t="inlineStr">
        <is>
          <t>4:5</t>
        </is>
      </c>
      <c r="D112" s="11" t="inlineStr">
        <is>
          <t>A gerar</t>
        </is>
      </c>
    </row>
    <row r="113">
      <c r="A113" s="10" t="inlineStr">
        <is>
          <t>F4 — Mãos no capuz</t>
        </is>
      </c>
      <c r="B113" s="10" t="inlineStr">
        <is>
          <t>Origem: foto #4 (bege/camelo, frontal, mãos no capuz)</t>
        </is>
      </c>
      <c r="C113" s="10" t="inlineStr">
        <is>
          <t>4:5</t>
        </is>
      </c>
      <c r="D113" s="11" t="inlineStr">
        <is>
          <t>A gerar</t>
        </is>
      </c>
    </row>
    <row r="114">
      <c r="A114" s="10" t="inlineStr">
        <is>
          <t>F5 — 3/4 ajustando a manga (preto)</t>
        </is>
      </c>
      <c r="B114" s="10" t="inlineStr">
        <is>
          <t>Origem: foto #5 (preto, 3/4, mão no punho)</t>
        </is>
      </c>
      <c r="C114" s="10" t="inlineStr">
        <is>
          <t>4:5</t>
        </is>
      </c>
      <c r="D114" s="11" t="inlineStr">
        <is>
          <t>A gerar</t>
        </is>
      </c>
    </row>
    <row r="115">
      <c r="A115" s="10" t="inlineStr">
        <is>
          <t>F6 — Frontal mão no bolso da calça</t>
        </is>
      </c>
      <c r="B115" s="10" t="inlineStr">
        <is>
          <t>Origem: foto #6 (preto, frontal)</t>
        </is>
      </c>
      <c r="C115" s="10" t="inlineStr">
        <is>
          <t>4:5</t>
        </is>
      </c>
      <c r="D115" s="11" t="inlineStr">
        <is>
          <t>A gerar</t>
        </is>
      </c>
    </row>
    <row r="116">
      <c r="A116" s="10" t="inlineStr">
        <is>
          <t>F7 — Mãos no bolso canguru</t>
        </is>
      </c>
      <c r="B116" s="10" t="inlineStr">
        <is>
          <t>Origem: foto #7 (preto, frontal, mãos no canguru)</t>
        </is>
      </c>
      <c r="C116" s="10" t="inlineStr">
        <is>
          <t>4:5</t>
        </is>
      </c>
      <c r="D116" s="11" t="inlineStr">
        <is>
          <t>A gerar</t>
        </is>
      </c>
    </row>
    <row r="117">
      <c r="A117" s="10" t="inlineStr">
        <is>
          <t>F8 — Canguru, olhar para fora (claro)</t>
        </is>
      </c>
      <c r="B117" s="10" t="inlineStr">
        <is>
          <t>Origem: foto #8 (off-white, mãos no canguru, rosto virado)</t>
        </is>
      </c>
      <c r="C117" s="10" t="inlineStr">
        <is>
          <t>4:5</t>
        </is>
      </c>
      <c r="D117" s="11" t="inlineStr">
        <is>
          <t>A gerar</t>
        </is>
      </c>
    </row>
    <row r="118">
      <c r="A118" s="10" t="inlineStr">
        <is>
          <t>F9 — Frontal claro mãos atrás</t>
        </is>
      </c>
      <c r="B118" s="10" t="inlineStr">
        <is>
          <t>Origem: foto #9 (off-white, frontal)</t>
        </is>
      </c>
      <c r="C118" s="10" t="inlineStr">
        <is>
          <t>4:5</t>
        </is>
      </c>
      <c r="D118" s="11" t="inlineStr">
        <is>
          <t>A gerar</t>
        </is>
      </c>
    </row>
    <row r="119">
      <c r="A119" s="10" t="inlineStr">
        <is>
          <t>F10 — Ajustando o punho (claro)</t>
        </is>
      </c>
      <c r="B119" s="10" t="inlineStr">
        <is>
          <t>Origem: foto #10 (off-white, frontal, mão no punho)</t>
        </is>
      </c>
      <c r="C119" s="10" t="inlineStr">
        <is>
          <t>4:5</t>
        </is>
      </c>
      <c r="D119" s="11" t="inlineStr">
        <is>
          <t>A gerar</t>
        </is>
      </c>
    </row>
    <row r="120">
      <c r="A120" s="10" t="inlineStr">
        <is>
          <t>F11 — Costas (claro)</t>
        </is>
      </c>
      <c r="B120" s="10" t="inlineStr">
        <is>
          <t>Origem: foto #11 (off-white, costas)</t>
        </is>
      </c>
      <c r="C120" s="10" t="inlineStr">
        <is>
          <t>4:5</t>
        </is>
      </c>
      <c r="D120" s="11" t="inlineStr">
        <is>
          <t>A gerar</t>
        </is>
      </c>
    </row>
    <row r="121">
      <c r="A121" s="10" t="inlineStr">
        <is>
          <t>F12 — Segurando o cordão</t>
        </is>
      </c>
      <c r="B121" s="10" t="inlineStr">
        <is>
          <t>Origem: foto #12 (marinho, 3/4, mão no cordão)</t>
        </is>
      </c>
      <c r="C121" s="10" t="inlineStr">
        <is>
          <t>4:5</t>
        </is>
      </c>
      <c r="D121" s="11" t="inlineStr">
        <is>
          <t>A gerar</t>
        </is>
      </c>
    </row>
    <row r="122">
      <c r="A122" s="10" t="inlineStr">
        <is>
          <t>F13 — Close retrato com capuz</t>
        </is>
      </c>
      <c r="B122" s="10" t="inlineStr">
        <is>
          <t>Origem: foto #13 (marinho, close do rosto ao peito)</t>
        </is>
      </c>
      <c r="C122" s="10" t="inlineStr">
        <is>
          <t>4:5</t>
        </is>
      </c>
      <c r="D122" s="11" t="inlineStr">
        <is>
          <t>A gerar</t>
        </is>
      </c>
    </row>
    <row r="123">
      <c r="A123" s="10" t="inlineStr">
        <is>
          <t>F14 — Frontal mãos nos bolsos da calça</t>
        </is>
      </c>
      <c r="B123" s="10" t="inlineStr">
        <is>
          <t>Origem: foto #14 (marinho, frontal)</t>
        </is>
      </c>
      <c r="C123" s="10" t="inlineStr">
        <is>
          <t>4:5</t>
        </is>
      </c>
      <c r="D123" s="11" t="inlineStr">
        <is>
          <t>A gerar</t>
        </is>
      </c>
    </row>
    <row r="124">
      <c r="A124" s="10" t="inlineStr">
        <is>
          <t>F15 — Canguru 3/4</t>
        </is>
      </c>
      <c r="B124" s="10" t="inlineStr">
        <is>
          <t>Origem: foto #15 (marinho, 3/4, mãos no canguru)</t>
        </is>
      </c>
      <c r="C124" s="10" t="inlineStr">
        <is>
          <t>4:5</t>
        </is>
      </c>
      <c r="D124" s="11" t="inlineStr">
        <is>
          <t>A gerar</t>
        </is>
      </c>
    </row>
  </sheetData>
  <mergeCells count="43">
    <mergeCell ref="B4:F4"/>
    <mergeCell ref="B7:F7"/>
    <mergeCell ref="A84:F84"/>
    <mergeCell ref="A37:F37"/>
    <mergeCell ref="B15:E15"/>
    <mergeCell ref="D97:F97"/>
    <mergeCell ref="B24:E24"/>
    <mergeCell ref="B20:E20"/>
    <mergeCell ref="A86:F86"/>
    <mergeCell ref="A95:C95"/>
    <mergeCell ref="B26:E26"/>
    <mergeCell ref="A47:F47"/>
    <mergeCell ref="A85:F85"/>
    <mergeCell ref="B11:F11"/>
    <mergeCell ref="D93:F93"/>
    <mergeCell ref="B16:E16"/>
    <mergeCell ref="A97:C97"/>
    <mergeCell ref="B25:E25"/>
    <mergeCell ref="D92:F92"/>
    <mergeCell ref="B8:F8"/>
    <mergeCell ref="A96:C96"/>
    <mergeCell ref="B22:E22"/>
    <mergeCell ref="B18:E18"/>
    <mergeCell ref="B27:E27"/>
    <mergeCell ref="A93:C93"/>
    <mergeCell ref="B10:F10"/>
    <mergeCell ref="D94:F94"/>
    <mergeCell ref="B21:E21"/>
    <mergeCell ref="A83:F83"/>
    <mergeCell ref="A92:C92"/>
    <mergeCell ref="B9:F9"/>
    <mergeCell ref="B17:E17"/>
    <mergeCell ref="B23:E23"/>
    <mergeCell ref="A82:F82"/>
    <mergeCell ref="B6:F6"/>
    <mergeCell ref="A94:C94"/>
    <mergeCell ref="B5:F5"/>
    <mergeCell ref="A88:F88"/>
    <mergeCell ref="D96:F96"/>
    <mergeCell ref="B19:E19"/>
    <mergeCell ref="B28:E28"/>
    <mergeCell ref="A87:F87"/>
    <mergeCell ref="D95:F95"/>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18"/>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22" customWidth="1" min="3" max="3"/>
    <col width="22" customWidth="1" min="4" max="4"/>
    <col width="18" customWidth="1" min="5" max="5"/>
    <col width="14" customWidth="1" min="6" max="6"/>
  </cols>
  <sheetData>
    <row r="1">
      <c r="A1" s="25" t="inlineStr">
        <is>
          <t>P29 — Blusa Manga Longa Gola Careca 300g (fio importado 2 cabos)</t>
        </is>
      </c>
      <c r="B1" s="26" t="n"/>
      <c r="C1" s="26" t="n"/>
      <c r="D1" s="26" t="n"/>
      <c r="E1" s="26" t="n"/>
      <c r="F1" s="26" t="n"/>
    </row>
    <row r="3">
      <c r="A3" s="27" t="inlineStr">
        <is>
          <t>1. Identificação</t>
        </is>
      </c>
      <c r="B3" s="28" t="n"/>
      <c r="C3" s="28" t="n"/>
      <c r="D3" s="28" t="n"/>
      <c r="E3" s="28" t="n"/>
      <c r="F3" s="28" t="n"/>
    </row>
    <row r="4">
      <c r="A4" s="24" t="inlineStr">
        <is>
          <t>Código HMZT</t>
        </is>
      </c>
      <c r="B4" s="2" t="inlineStr">
        <is>
          <t>HMZT-P29-REG-ML300</t>
        </is>
      </c>
    </row>
    <row r="5">
      <c r="A5" s="24" t="inlineStr">
        <is>
          <t>Fornecedor</t>
        </is>
      </c>
      <c r="B5" s="2" t="inlineStr">
        <is>
          <t>Lunfe Malhas — fabricação própria, Itajaí-SC</t>
        </is>
      </c>
    </row>
    <row r="6">
      <c r="A6" s="24" t="inlineStr">
        <is>
          <t>Referência</t>
        </is>
      </c>
      <c r="B6" s="2" t="inlineStr">
        <is>
          <t>7897331246725 (EAN-13)</t>
        </is>
      </c>
    </row>
    <row r="7">
      <c r="A7" s="24" t="inlineStr">
        <is>
          <t>URL</t>
        </is>
      </c>
      <c r="B7" s="2" t="inlineStr">
        <is>
          <t>lunfemalhas.com.br/blusa-manga-longa-gola-careca-300g-atacado-lunfe</t>
        </is>
      </c>
    </row>
    <row r="8">
      <c r="A8" s="24" t="inlineStr">
        <is>
          <t>Categoria no site</t>
        </is>
      </c>
      <c r="B8" s="2" t="inlineStr">
        <is>
          <t>Inverno</t>
        </is>
      </c>
    </row>
    <row r="9">
      <c r="A9" s="24" t="inlineStr">
        <is>
          <t>Linha HMZT recomendada</t>
        </is>
      </c>
      <c r="B9" s="2" t="inlineStr">
        <is>
          <t>Meia-estação — Manga longa clássica · condicionada à composição</t>
        </is>
      </c>
    </row>
    <row r="10">
      <c r="A10" s="24" t="inlineStr">
        <is>
          <t>Estoque</t>
        </is>
      </c>
      <c r="B10" s="8" t="inlineStr">
        <is>
          <t>🔴 'Esse acabou' na página; FAQ: '4 cores em estoque, despacho 24h' ⚠️</t>
        </is>
      </c>
    </row>
    <row r="11">
      <c r="A11" s="24" t="inlineStr">
        <is>
          <t>Descritor canônico (IA)</t>
        </is>
      </c>
      <c r="B11" s="2" t="inlineStr">
        <is>
          <t>Blusa masculina manga longa gola careca regular fit em malha encorpada 300 g lisa por dentro, mangas set-in, gola em ribana fina, punhos e barra com bainha virada lisa, comprimento no quadril. Fosca com leve toque acetinado. Peça lisa.</t>
        </is>
      </c>
    </row>
    <row r="13">
      <c r="A13" s="27" t="inlineStr">
        <is>
          <t>2. Especificação técnica</t>
        </is>
      </c>
      <c r="B13" s="28" t="n"/>
      <c r="C13" s="28" t="n"/>
      <c r="D13" s="28" t="n"/>
      <c r="E13" s="28" t="n"/>
      <c r="F13" s="28" t="n"/>
    </row>
    <row r="14">
      <c r="A14" s="9" t="inlineStr">
        <is>
          <t>Item</t>
        </is>
      </c>
      <c r="B14" s="9" t="inlineStr">
        <is>
          <t>Valor</t>
        </is>
      </c>
      <c r="C14" s="9" t="inlineStr">
        <is>
          <t>Fonte</t>
        </is>
      </c>
    </row>
    <row r="15">
      <c r="A15" s="10" t="inlineStr">
        <is>
          <t>Composição</t>
        </is>
      </c>
      <c r="B15" s="10" t="inlineStr">
        <is>
          <t>'Fio importado chinês de fibra longa' — SEM percentual</t>
        </is>
      </c>
      <c r="C15" s="29" t="n"/>
      <c r="D15" s="29" t="n"/>
      <c r="E15" s="30" t="n"/>
    </row>
    <row r="16">
      <c r="A16" s="10" t="inlineStr">
        <is>
          <t>Construção</t>
        </is>
      </c>
      <c r="B16" s="10" t="inlineStr">
        <is>
          <t>Malha 2 cabos (double ply), sem peluciado; interior liso</t>
        </is>
      </c>
      <c r="C16" s="29" t="n"/>
      <c r="D16" s="29" t="n"/>
      <c r="E16" s="30" t="n"/>
    </row>
    <row r="17">
      <c r="A17" s="10" t="inlineStr">
        <is>
          <t>Gramatura</t>
        </is>
      </c>
      <c r="B17" s="10" t="inlineStr">
        <is>
          <t>300 g/m²</t>
        </is>
      </c>
      <c r="C17" s="29" t="n"/>
      <c r="D17" s="29" t="n"/>
      <c r="E17" s="30" t="n"/>
    </row>
    <row r="18">
      <c r="A18" s="10" t="inlineStr">
        <is>
          <t>Modelagem</t>
        </is>
      </c>
      <c r="B18" s="10" t="inlineStr">
        <is>
          <t>Regular fit, manga longa set-in</t>
        </is>
      </c>
      <c r="C18" s="29" t="n"/>
      <c r="D18" s="29" t="n"/>
      <c r="E18" s="30" t="n"/>
    </row>
    <row r="19">
      <c r="A19" s="10" t="inlineStr">
        <is>
          <t>Gola</t>
        </is>
      </c>
      <c r="B19" s="10" t="inlineStr">
        <is>
          <t>Careca em ribana reforçada (≈ 2 cm nas fotos)</t>
        </is>
      </c>
      <c r="C19" s="29" t="n"/>
      <c r="D19" s="29" t="n"/>
      <c r="E19" s="30" t="n"/>
    </row>
    <row r="20">
      <c r="A20" s="10" t="inlineStr">
        <is>
          <t>Punhos</t>
        </is>
      </c>
      <c r="B20" s="10" t="inlineStr">
        <is>
          <t>Ficha: ribana canelada · Foto #5: bainha virada lisa</t>
        </is>
      </c>
      <c r="C20" s="29" t="n"/>
      <c r="D20" s="29" t="n"/>
      <c r="E20" s="30" t="n"/>
    </row>
    <row r="21">
      <c r="A21" s="10" t="inlineStr">
        <is>
          <t>Barra</t>
        </is>
      </c>
      <c r="B21" s="10" t="inlineStr">
        <is>
          <t>Ficha: ribana canelada · Fotos: bainha virada lisa</t>
        </is>
      </c>
      <c r="C21" s="29" t="n"/>
      <c r="D21" s="29" t="n"/>
      <c r="E21" s="30" t="n"/>
    </row>
    <row r="22">
      <c r="A22" s="10" t="inlineStr">
        <is>
          <t>Acabamentos</t>
        </is>
      </c>
      <c r="B22" s="10" t="inlineStr">
        <is>
          <t>Costura reforçada; ombro a ombro com fita interna</t>
        </is>
      </c>
      <c r="C22" s="29" t="n"/>
      <c r="D22" s="29" t="n"/>
      <c r="E22" s="30" t="n"/>
    </row>
    <row r="23">
      <c r="A23" s="10" t="inlineStr">
        <is>
          <t>Toque</t>
        </is>
      </c>
      <c r="B23" s="10" t="inlineStr">
        <is>
          <t>'Acetinado natural, brilho sutil, como camisa de luxo'</t>
        </is>
      </c>
      <c r="C23" s="29" t="n"/>
      <c r="D23" s="29" t="n"/>
      <c r="E23" s="30" t="n"/>
    </row>
    <row r="24">
      <c r="A24" s="10" t="inlineStr">
        <is>
          <t>Térmica</t>
        </is>
      </c>
      <c r="B24" s="10" t="inlineStr">
        <is>
          <t>'Faixa de 15–22 °C', 'microventilação'</t>
        </is>
      </c>
      <c r="C24" s="29" t="n"/>
      <c r="D24" s="29" t="n"/>
      <c r="E24" s="30" t="n"/>
    </row>
    <row r="25">
      <c r="A25" s="10" t="inlineStr">
        <is>
          <t>Tratamentos</t>
        </is>
      </c>
      <c r="B25" s="10" t="inlineStr">
        <is>
          <t>Pré-encolhimento industrial; fixação de cor de alta solidez</t>
        </is>
      </c>
      <c r="C25" s="29" t="n"/>
      <c r="D25" s="29" t="n"/>
      <c r="E25" s="30" t="n"/>
    </row>
    <row r="26">
      <c r="A26" s="10" t="inlineStr">
        <is>
          <t>Tamanhos</t>
        </is>
      </c>
      <c r="B26" s="10" t="inlineStr">
        <is>
          <t>P ao EG (5)</t>
        </is>
      </c>
      <c r="C26" s="29" t="n"/>
      <c r="D26" s="29" t="n"/>
      <c r="E26" s="30" t="n"/>
    </row>
    <row r="27">
      <c r="A27" s="10" t="inlineStr">
        <is>
          <t>Produção</t>
        </is>
      </c>
      <c r="B27" s="10" t="inlineStr">
        <is>
          <t>Malha feita em Itajaí-SC com fio importado</t>
        </is>
      </c>
      <c r="C27" s="29" t="n"/>
      <c r="D27" s="29" t="n"/>
      <c r="E27" s="30" t="n"/>
    </row>
    <row r="28">
      <c r="A28" s="10" t="inlineStr">
        <is>
          <t>Modelo das fotos</t>
        </is>
      </c>
      <c r="B28" s="10" t="inlineStr">
        <is>
          <t>1,84 m · 84 kg · veste M</t>
        </is>
      </c>
      <c r="C28" s="29" t="n"/>
      <c r="D28" s="29" t="n"/>
      <c r="E28" s="30" t="n"/>
    </row>
    <row r="30">
      <c r="A30" s="27" t="inlineStr">
        <is>
          <t>3. Tabela de medidas (cm)</t>
        </is>
      </c>
      <c r="B30" s="28" t="n"/>
      <c r="C30" s="28" t="n"/>
      <c r="D30" s="28" t="n"/>
      <c r="E30" s="28" t="n"/>
      <c r="F30" s="28" t="n"/>
    </row>
    <row r="31">
      <c r="A31" s="9" t="inlineStr">
        <is>
          <t>Tamanho</t>
        </is>
      </c>
      <c r="B31" s="9" t="inlineStr">
        <is>
          <t>Comprimento</t>
        </is>
      </c>
      <c r="C31" s="9" t="inlineStr">
        <is>
          <t>Largura</t>
        </is>
      </c>
      <c r="D31" s="9" t="inlineStr">
        <is>
          <t>Ombros</t>
        </is>
      </c>
      <c r="E31" s="9" t="inlineStr">
        <is>
          <t>Mangas</t>
        </is>
      </c>
    </row>
    <row r="32">
      <c r="A32" s="10" t="inlineStr">
        <is>
          <t>P</t>
        </is>
      </c>
      <c r="B32" s="11" t="n">
        <v>70</v>
      </c>
      <c r="C32" s="11" t="n">
        <v>52</v>
      </c>
      <c r="D32" s="11" t="n">
        <v>44</v>
      </c>
      <c r="E32" s="11" t="n">
        <v>60</v>
      </c>
    </row>
    <row r="33">
      <c r="A33" s="10" t="inlineStr">
        <is>
          <t>M</t>
        </is>
      </c>
      <c r="B33" s="11" t="n">
        <v>72</v>
      </c>
      <c r="C33" s="11" t="n">
        <v>54</v>
      </c>
      <c r="D33" s="11" t="n">
        <v>46</v>
      </c>
      <c r="E33" s="11" t="n">
        <v>62</v>
      </c>
    </row>
    <row r="34">
      <c r="A34" s="10" t="inlineStr">
        <is>
          <t>G</t>
        </is>
      </c>
      <c r="B34" s="11" t="n">
        <v>74</v>
      </c>
      <c r="C34" s="11" t="n">
        <v>56</v>
      </c>
      <c r="D34" s="11" t="n">
        <v>48</v>
      </c>
      <c r="E34" s="11" t="n">
        <v>64</v>
      </c>
    </row>
    <row r="35">
      <c r="A35" s="10" t="inlineStr">
        <is>
          <t>GG</t>
        </is>
      </c>
      <c r="B35" s="11" t="n">
        <v>76</v>
      </c>
      <c r="C35" s="11" t="n">
        <v>58</v>
      </c>
      <c r="D35" s="11" t="n">
        <v>50</v>
      </c>
      <c r="E35" s="11" t="n">
        <v>66</v>
      </c>
    </row>
    <row r="36">
      <c r="A36" s="10" t="inlineStr">
        <is>
          <t>EG</t>
        </is>
      </c>
      <c r="B36" s="11" t="n">
        <v>78</v>
      </c>
      <c r="C36" s="11" t="n">
        <v>60</v>
      </c>
      <c r="D36" s="11" t="n">
        <v>52</v>
      </c>
      <c r="E36" s="11" t="n">
        <v>68</v>
      </c>
    </row>
    <row r="37" ht="30" customHeight="1">
      <c r="A37" s="2" t="inlineStr">
        <is>
          <t>Em cm, ± 2 cm. Manga do ombro ao fim do punho. Corpo = grade regular padrão da Lunfe (M 72 × 54, ombro 46). ⚠️ Faltam largura de punho e barra.</t>
        </is>
      </c>
    </row>
    <row r="38">
      <c r="A38" s="15" t="inlineStr">
        <is>
          <t>Modelo das fotos: 1,84 m · 84 kg · veste M</t>
        </is>
      </c>
    </row>
    <row r="40">
      <c r="A40" s="27" t="inlineStr">
        <is>
          <t>4. Cores disponíveis</t>
        </is>
      </c>
      <c r="B40" s="28" t="n"/>
      <c r="C40" s="28" t="n"/>
      <c r="D40" s="28" t="n"/>
      <c r="E40" s="28" t="n"/>
      <c r="F40" s="28" t="n"/>
    </row>
    <row r="41">
      <c r="A41" s="9" t="inlineStr">
        <is>
          <t>Cor</t>
        </is>
      </c>
      <c r="B41" s="9" t="inlineStr">
        <is>
          <t>Código HMZT</t>
        </is>
      </c>
      <c r="C41" s="9" t="inlineStr">
        <is>
          <t>Ref. fornecedor</t>
        </is>
      </c>
      <c r="D41" s="9" t="inlineStr">
        <is>
          <t>Observação</t>
        </is>
      </c>
    </row>
    <row r="42">
      <c r="A42" s="10" t="inlineStr">
        <is>
          <t>Preto</t>
        </is>
      </c>
      <c r="B42" s="10" t="inlineStr">
        <is>
          <t>PRT</t>
        </is>
      </c>
      <c r="C42" s="10" t="inlineStr">
        <is>
          <t>BML-GC-PRT</t>
        </is>
      </c>
      <c r="D42" s="10" t="inlineStr">
        <is>
          <t>Fotos #10–#12</t>
        </is>
      </c>
    </row>
    <row r="43">
      <c r="A43" s="10" t="inlineStr">
        <is>
          <t>Marinho</t>
        </is>
      </c>
      <c r="B43" s="10" t="inlineStr">
        <is>
          <t>MAR</t>
        </is>
      </c>
      <c r="C43" s="10" t="inlineStr">
        <is>
          <t>BML-GC-MRN</t>
        </is>
      </c>
      <c r="D43" s="10" t="inlineStr">
        <is>
          <t>Fotos #1–#3</t>
        </is>
      </c>
    </row>
    <row r="44">
      <c r="A44" s="10" t="inlineStr">
        <is>
          <t>Off White</t>
        </is>
      </c>
      <c r="B44" s="10" t="inlineStr">
        <is>
          <t>OFF</t>
        </is>
      </c>
      <c r="C44" s="10" t="inlineStr">
        <is>
          <t>BML-GC-OFW</t>
        </is>
      </c>
      <c r="D44" s="10" t="inlineStr">
        <is>
          <t>Fotos #4–#6</t>
        </is>
      </c>
    </row>
    <row r="45">
      <c r="A45" s="10" t="inlineStr">
        <is>
          <t>Verde</t>
        </is>
      </c>
      <c r="B45" s="10" t="inlineStr">
        <is>
          <t>VRD</t>
        </is>
      </c>
      <c r="C45" s="10" t="inlineStr">
        <is>
          <t>BML-GC-VRD</t>
        </is>
      </c>
      <c r="D45" s="10" t="inlineStr">
        <is>
          <t>Fotos #7–#9 — verde militar escuro</t>
        </is>
      </c>
    </row>
    <row r="46" ht="30" customHeight="1">
      <c r="A46" s="2" t="inlineStr">
        <is>
          <t>4 cores com referência, todas fotografadas. Mesma cartela da raglan P27 (mesma malha).</t>
        </is>
      </c>
    </row>
    <row r="48">
      <c r="A48" s="27" t="inlineStr">
        <is>
          <t>5. Personalização (preço sempre sob orçamento)</t>
        </is>
      </c>
      <c r="B48" s="28" t="n"/>
      <c r="C48" s="28" t="n"/>
      <c r="D48" s="28" t="n"/>
      <c r="E48" s="28" t="n"/>
      <c r="F48" s="28" t="n"/>
    </row>
    <row r="49">
      <c r="A49" s="9" t="inlineStr">
        <is>
          <t>Técnica</t>
        </is>
      </c>
      <c r="B49" s="9" t="inlineStr">
        <is>
          <t>Detalhe</t>
        </is>
      </c>
      <c r="C49" s="9" t="inlineStr">
        <is>
          <t>Mínimo</t>
        </is>
      </c>
    </row>
    <row r="50">
      <c r="A50" s="10" t="inlineStr">
        <is>
          <t>Bordado</t>
        </is>
      </c>
      <c r="B50" s="10" t="inlineStr">
        <is>
          <t>Peito (na raglan, abaixo da costura diagonal) e mangas — 🟢 recomendado; ⚠️ usar entretela</t>
        </is>
      </c>
      <c r="C50" s="10" t="inlineStr">
        <is>
          <t>20 pç</t>
        </is>
      </c>
    </row>
    <row r="51">
      <c r="A51" s="10" t="inlineStr">
        <is>
          <t>Silk base d'água</t>
        </is>
      </c>
      <c r="B51" s="10" t="inlineStr">
        <is>
          <t>Costas (área mais limpa), mangas, peito</t>
        </is>
      </c>
      <c r="C51" s="10" t="inlineStr">
        <is>
          <t>20 pç</t>
        </is>
      </c>
    </row>
    <row r="52">
      <c r="A52" s="10" t="inlineStr">
        <is>
          <t>DTF</t>
        </is>
      </c>
      <c r="B52" s="10" t="inlineStr">
        <is>
          <t>Full color — melhor nas costas</t>
        </is>
      </c>
      <c r="C52" s="10" t="inlineStr">
        <is>
          <t>20 pç</t>
        </is>
      </c>
    </row>
    <row r="53">
      <c r="A53" s="10" t="inlineStr">
        <is>
          <t>Etiqueta private label</t>
        </is>
      </c>
      <c r="B53" s="10" t="inlineStr">
        <is>
          <t>Interna + tag — ⚠️ exige composição em % na etiqueta (lei de rotulagem têxtil)</t>
        </is>
      </c>
      <c r="C53" s="10" t="inlineStr">
        <is>
          <t>20 pç</t>
        </is>
      </c>
    </row>
    <row r="54">
      <c r="A54" s="10" t="inlineStr">
        <is>
          <t>Embalagem customizada</t>
        </is>
      </c>
      <c r="B54" s="10" t="inlineStr">
        <is>
          <t>Saco, caixa premium, tag</t>
        </is>
      </c>
      <c r="C54" s="10" t="inlineStr">
        <is>
          <t>50 pç</t>
        </is>
      </c>
    </row>
    <row r="55">
      <c r="A55" s="10" t="inlineStr">
        <is>
          <t>Cor Pantone</t>
        </is>
      </c>
      <c r="B55" s="10" t="inlineStr">
        <is>
          <t>15–25 dias úteis</t>
        </is>
      </c>
      <c r="C55" s="10" t="inlineStr">
        <is>
          <t>100 pç/cor</t>
        </is>
      </c>
    </row>
    <row r="56">
      <c r="A56" s="10" t="inlineStr">
        <is>
          <t>Preço</t>
        </is>
      </c>
      <c r="B56" s="10" t="inlineStr">
        <is>
          <t>Sob orçamento</t>
        </is>
      </c>
      <c r="C56" s="10" t="inlineStr">
        <is>
          <t>—</t>
        </is>
      </c>
    </row>
    <row r="58">
      <c r="A58" s="27" t="inlineStr">
        <is>
          <t>6. Preços do fornecedor (desconto progressivo)</t>
        </is>
      </c>
      <c r="B58" s="28" t="n"/>
      <c r="C58" s="28" t="n"/>
      <c r="D58" s="28" t="n"/>
      <c r="E58" s="28" t="n"/>
      <c r="F58" s="28" t="n"/>
    </row>
    <row r="59">
      <c r="A59" s="24" t="inlineStr">
        <is>
          <t>Preço base (R$)</t>
        </is>
      </c>
      <c r="B59" s="31" t="n">
        <v>48</v>
      </c>
    </row>
    <row r="60">
      <c r="A60" s="17" t="inlineStr">
        <is>
          <t>Faixa</t>
        </is>
      </c>
      <c r="B60" s="17" t="inlineStr">
        <is>
          <t>Peças</t>
        </is>
      </c>
      <c r="C60" s="17" t="inlineStr">
        <is>
          <t>Desconto</t>
        </is>
      </c>
      <c r="D60" s="17" t="inlineStr">
        <is>
          <t>Preço unitário</t>
        </is>
      </c>
      <c r="E60" s="17" t="inlineStr">
        <is>
          <t>Preço + Pix</t>
        </is>
      </c>
    </row>
    <row r="61">
      <c r="A61" s="18" t="inlineStr">
        <is>
          <t>Faixa 1</t>
        </is>
      </c>
      <c r="B61" s="18" t="inlineStr">
        <is>
          <t>20–40</t>
        </is>
      </c>
      <c r="C61" s="32">
        <f>'Regras Fornecedor'!$D$4</f>
        <v/>
      </c>
      <c r="D61" s="33">
        <f>ROUND($B$59*(1-C61),2)</f>
        <v/>
      </c>
      <c r="E61" s="34">
        <f>ROUND(D61*(1-'Regras Fornecedor'!$B$10),2)</f>
        <v/>
      </c>
    </row>
    <row r="62">
      <c r="A62" s="18" t="inlineStr">
        <is>
          <t>Faixa 2</t>
        </is>
      </c>
      <c r="B62" s="18" t="inlineStr">
        <is>
          <t>40–80</t>
        </is>
      </c>
      <c r="C62" s="32">
        <f>'Regras Fornecedor'!$D$5</f>
        <v/>
      </c>
      <c r="D62" s="33">
        <f>ROUND($B$59*(1-C62),2)</f>
        <v/>
      </c>
      <c r="E62" s="34">
        <f>ROUND(D62*(1-'Regras Fornecedor'!$B$10),2)</f>
        <v/>
      </c>
    </row>
    <row r="63">
      <c r="A63" s="18" t="inlineStr">
        <is>
          <t>Faixa 3</t>
        </is>
      </c>
      <c r="B63" s="18" t="inlineStr">
        <is>
          <t>80–100</t>
        </is>
      </c>
      <c r="C63" s="32">
        <f>'Regras Fornecedor'!$D$6</f>
        <v/>
      </c>
      <c r="D63" s="33">
        <f>ROUND($B$59*(1-C63),2)</f>
        <v/>
      </c>
      <c r="E63" s="34">
        <f>ROUND(D63*(1-'Regras Fornecedor'!$B$10),2)</f>
        <v/>
      </c>
    </row>
    <row r="64">
      <c r="A64" s="18" t="inlineStr">
        <is>
          <t>Faixa 4</t>
        </is>
      </c>
      <c r="B64" s="18" t="inlineStr">
        <is>
          <t>100–300</t>
        </is>
      </c>
      <c r="C64" s="32">
        <f>'Regras Fornecedor'!$D$7</f>
        <v/>
      </c>
      <c r="D64" s="33">
        <f>ROUND($B$59*(1-C64),2)</f>
        <v/>
      </c>
      <c r="E64" s="34">
        <f>ROUND(D64*(1-'Regras Fornecedor'!$B$10),2)</f>
        <v/>
      </c>
    </row>
    <row r="65">
      <c r="A65" s="18" t="inlineStr">
        <is>
          <t>Faixa 5</t>
        </is>
      </c>
      <c r="B65" s="18" t="inlineStr">
        <is>
          <t>300–999</t>
        </is>
      </c>
      <c r="C65" s="32">
        <f>'Regras Fornecedor'!$D$8</f>
        <v/>
      </c>
      <c r="D65" s="33">
        <f>ROUND($B$59*(1-C65),2)</f>
        <v/>
      </c>
      <c r="E65" s="34">
        <f>ROUND(D65*(1-'Regras Fornecedor'!$B$10),2)</f>
        <v/>
      </c>
    </row>
    <row r="67">
      <c r="A67" s="27" t="inlineStr">
        <is>
          <t>7. Custo HMZT e margem (lote de 20 peças, Pix)</t>
        </is>
      </c>
      <c r="B67" s="28" t="n"/>
      <c r="C67" s="28" t="n"/>
      <c r="D67" s="28" t="n"/>
      <c r="E67" s="28" t="n"/>
      <c r="F67" s="28" t="n"/>
    </row>
    <row r="68">
      <c r="A68" s="24" t="inlineStr">
        <is>
          <t>Peça (20 pç, Pix)</t>
        </is>
      </c>
      <c r="B68" s="35">
        <f>E61</f>
        <v/>
      </c>
    </row>
    <row r="69">
      <c r="A69" s="24" t="inlineStr">
        <is>
          <t>Personalização + etiqueta + tag (R$/pç)</t>
        </is>
      </c>
      <c r="B69" s="36" t="n">
        <v>9</v>
      </c>
      <c r="C69" s="15" t="inlineStr">
        <is>
          <t>Estimativa HMZT — trocar pelo orçamento real</t>
        </is>
      </c>
    </row>
    <row r="70">
      <c r="A70" s="24" t="inlineStr">
        <is>
          <t>Frete rateado + embalagem (R$/pç)</t>
        </is>
      </c>
      <c r="B70" s="36" t="n">
        <v>5</v>
      </c>
      <c r="C70" s="15" t="inlineStr">
        <is>
          <t>Estimativa HMZT — trocar pelo orçamento real</t>
        </is>
      </c>
    </row>
    <row r="71">
      <c r="A71" s="24" t="inlineStr">
        <is>
          <t>Custo unitário estimado</t>
        </is>
      </c>
      <c r="B71" s="37">
        <f>SUM(B68:B70)</f>
        <v/>
      </c>
    </row>
    <row r="72">
      <c r="A72" s="24" t="inlineStr">
        <is>
          <t>Preço de venda HMZT (R$)</t>
        </is>
      </c>
      <c r="B72" s="36" t="n">
        <v>149</v>
      </c>
      <c r="C72" s="15" t="inlineStr">
        <is>
          <t>Sugestão do dossiê — ajustar</t>
        </is>
      </c>
    </row>
    <row r="73">
      <c r="A73" s="24" t="inlineStr">
        <is>
          <t>Impostos + gateway (% do preço)</t>
        </is>
      </c>
      <c r="B73" s="38" t="n">
        <v>0</v>
      </c>
      <c r="C73" s="15" t="inlineStr">
        <is>
          <t>A preencher (Simples + taxa Asaas)</t>
        </is>
      </c>
    </row>
    <row r="74">
      <c r="A74" s="24" t="inlineStr">
        <is>
          <t>Margem bruta (R$)</t>
        </is>
      </c>
      <c r="B74" s="35">
        <f>B72-B71</f>
        <v/>
      </c>
    </row>
    <row r="75">
      <c r="A75" s="24" t="inlineStr">
        <is>
          <t>Margem bruta (%)</t>
        </is>
      </c>
      <c r="B75" s="39">
        <f>IF(B72=0,0,(B72-B71)/B72)</f>
        <v/>
      </c>
    </row>
    <row r="76">
      <c r="A76" s="24" t="inlineStr">
        <is>
          <t>Margem após impostos/gateway (%)</t>
        </is>
      </c>
      <c r="B76" s="39">
        <f>IF(B72=0,0,(B72*(1-B73)-B71)/B72)</f>
        <v/>
      </c>
      <c r="C76" s="15" t="inlineStr">
        <is>
          <t>Ainda sem frete ao cliente e mídia</t>
        </is>
      </c>
    </row>
    <row r="78">
      <c r="A78" s="27" t="inlineStr">
        <is>
          <t>8. Contradições e erros ⚠️</t>
        </is>
      </c>
      <c r="B78" s="28" t="n"/>
      <c r="C78" s="28" t="n"/>
      <c r="D78" s="28" t="n"/>
      <c r="E78" s="28" t="n"/>
      <c r="F78" s="28" t="n"/>
    </row>
    <row r="79">
      <c r="A79" s="8" t="inlineStr">
        <is>
          <t>⚠️ Composição não informada em % — só 'fio importado chinês de fibra longa'. Não dá para etiquetar nem afirmar 'algodão'.</t>
        </is>
      </c>
    </row>
    <row r="80">
      <c r="A80" s="8" t="inlineStr">
        <is>
          <t>⚠️ Origem 'chinês' sem rastreabilidade = risco de algodão de Xinjiang (mesmo alerta P05/P06).</t>
        </is>
      </c>
    </row>
    <row r="81">
      <c r="A81" s="8" t="inlineStr">
        <is>
          <t>⚠️ Ficha: punhos e barra em ribana canelada; fotos: bainha virada lisa nos dois.</t>
        </is>
      </c>
    </row>
    <row r="82">
      <c r="A82" s="8" t="inlineStr">
        <is>
          <t>⚠️ 'Mais leve que moletom' — mas pesa 300 g/m², MAIS que o moletom 2 cabos de 260 g que o próprio texto compara.</t>
        </is>
      </c>
    </row>
    <row r="83">
      <c r="A83" s="8" t="inlineStr">
        <is>
          <t>⚠️ Sazonalidade incoerente: 'vazio de 6 meses', tabela com 'meia estação 4 meses' e 'vende 8 meses (mar–out)'.</t>
        </is>
      </c>
    </row>
    <row r="84">
      <c r="A84" s="8" t="inlineStr">
        <is>
          <t>⚠️ 'Nenhum concorrente oferece', 'falta no catálogo de 90% das marcas' — alegações sem fonte.</t>
        </is>
      </c>
    </row>
    <row r="85">
      <c r="A85" s="8" t="inlineStr">
        <is>
          <t>⚠️ Bordado 'dispensando entretela' — exigir entretela.</t>
        </is>
      </c>
    </row>
    <row r="86">
      <c r="A86" s="8" t="inlineStr">
        <is>
          <t>⚠️ Estoque: 'Esse acabou' × FAQ '4 cores em estoque'.</t>
        </is>
      </c>
    </row>
    <row r="88">
      <c r="A88" s="27" t="inlineStr">
        <is>
          <t>9. Comunicação HMZT</t>
        </is>
      </c>
      <c r="B88" s="28" t="n"/>
      <c r="C88" s="28" t="n"/>
      <c r="D88" s="28" t="n"/>
      <c r="E88" s="28" t="n"/>
      <c r="F88" s="28" t="n"/>
    </row>
    <row r="89">
      <c r="A89" s="24" t="inlineStr">
        <is>
          <t>✅ Pode usar</t>
        </is>
      </c>
      <c r="D89" s="24" t="inlineStr">
        <is>
          <t>📣 / ⛔ Não usar</t>
        </is>
      </c>
    </row>
    <row r="90">
      <c r="A90" s="40" t="inlineStr">
        <is>
          <t>"Manga longa em malha 300 g/m², lisa por dentro, opaca."</t>
        </is>
      </c>
      <c r="D90" s="8" t="inlineStr">
        <is>
          <t>⚠️ "Fio importado chinês" / qualquer menção à origem do fio.</t>
        </is>
      </c>
    </row>
    <row r="91">
      <c r="A91" s="40" t="inlineStr">
        <is>
          <t>"Gola careca em ribana; costura ombro a ombro com fita."</t>
        </is>
      </c>
      <c r="D91" s="8" t="inlineStr">
        <is>
          <t>⚠️ "Algodão" — composição não confirmada.</t>
        </is>
      </c>
    </row>
    <row r="92">
      <c r="A92" s="40" t="inlineStr">
        <is>
          <t>"Peça de meia-estação e de sobreposição."</t>
        </is>
      </c>
      <c r="D92" s="8" t="inlineStr">
        <is>
          <t>📣 "Toque de seda / camisa de luxo", "luminosidade de tecido caro".</t>
        </is>
      </c>
    </row>
    <row r="93">
      <c r="A93" s="40" t="inlineStr">
        <is>
          <t>"Malha produzida em Santa Catarina."</t>
        </is>
      </c>
      <c r="D93" s="8" t="inlineStr">
        <is>
          <t>📣 "Conforto térmico contínuo de 15–22 °C", "microventilação".</t>
        </is>
      </c>
    </row>
    <row r="94">
      <c r="A94" s="40" t="inlineStr">
        <is>
          <t>Composição — SÓ depois do % por escrito.</t>
        </is>
      </c>
      <c r="D94" s="8" t="inlineStr">
        <is>
          <t>📣 "Vende 8 meses por ano", "nicho que ninguém atende", "90% das marcas".</t>
        </is>
      </c>
    </row>
    <row r="95">
      <c r="D95" s="8" t="inlineStr">
        <is>
          <t>📣 Margens de 58–82%.</t>
        </is>
      </c>
    </row>
    <row r="97">
      <c r="A97" s="27" t="inlineStr">
        <is>
          <t>10. Pendências com o fornecedor</t>
        </is>
      </c>
      <c r="B97" s="28" t="n"/>
      <c r="C97" s="28" t="n"/>
      <c r="D97" s="28" t="n"/>
      <c r="E97" s="28" t="n"/>
      <c r="F97" s="28" t="n"/>
    </row>
    <row r="98">
      <c r="A98" s="9" t="inlineStr">
        <is>
          <t>Pendência</t>
        </is>
      </c>
      <c r="B98" s="9" t="inlineStr">
        <is>
          <t>Status</t>
        </is>
      </c>
      <c r="C98" s="9" t="inlineStr">
        <is>
          <t>Responsável</t>
        </is>
      </c>
      <c r="D98" s="9" t="inlineStr">
        <is>
          <t>Resposta</t>
        </is>
      </c>
    </row>
    <row r="99">
      <c r="A99" s="10" t="inlineStr">
        <is>
          <t>Composição exata em % e laudo</t>
        </is>
      </c>
      <c r="B99" s="11" t="inlineStr">
        <is>
          <t>Aberta</t>
        </is>
      </c>
      <c r="C99" s="11" t="inlineStr"/>
      <c r="D99" s="11" t="inlineStr"/>
    </row>
    <row r="100">
      <c r="A100" s="10" t="inlineStr">
        <is>
          <t>Origem/rastreabilidade do fio</t>
        </is>
      </c>
      <c r="B100" s="11" t="inlineStr">
        <is>
          <t>Aberta</t>
        </is>
      </c>
      <c r="C100" s="11" t="inlineStr"/>
      <c r="D100" s="11" t="inlineStr"/>
    </row>
    <row r="101">
      <c r="A101" s="10" t="inlineStr">
        <is>
          <t>Punho e barra: ribana ou bainha virada?</t>
        </is>
      </c>
      <c r="B101" s="11" t="inlineStr">
        <is>
          <t>Aberta</t>
        </is>
      </c>
      <c r="C101" s="11" t="inlineStr"/>
      <c r="D101" s="11" t="inlineStr"/>
    </row>
    <row r="102">
      <c r="A102" s="10" t="inlineStr">
        <is>
          <t>Estoque real</t>
        </is>
      </c>
      <c r="B102" s="11" t="inlineStr">
        <is>
          <t>Aberta</t>
        </is>
      </c>
      <c r="C102" s="11" t="inlineStr"/>
      <c r="D102" s="11" t="inlineStr"/>
    </row>
    <row r="103">
      <c r="A103" s="10" t="inlineStr">
        <is>
          <t>Orçamento de bordado peito + etiqueta</t>
        </is>
      </c>
      <c r="B103" s="11" t="inlineStr">
        <is>
          <t>Aberta</t>
        </is>
      </c>
      <c r="C103" s="11" t="inlineStr"/>
      <c r="D103" s="11" t="inlineStr"/>
    </row>
    <row r="105">
      <c r="A105" s="27" t="inlineStr">
        <is>
          <t>11. Fluxo de prompts de lookbook (docs/shop-confeccao/prompts/P29-prompts.md)</t>
        </is>
      </c>
      <c r="B105" s="28" t="n"/>
      <c r="C105" s="28" t="n"/>
      <c r="D105" s="28" t="n"/>
      <c r="E105" s="28" t="n"/>
      <c r="F105" s="28" t="n"/>
    </row>
    <row r="106">
      <c r="A106" s="9" t="inlineStr">
        <is>
          <t>Foto</t>
        </is>
      </c>
      <c r="B106" s="9" t="inlineStr">
        <is>
          <t>Origem no print</t>
        </is>
      </c>
      <c r="C106" s="9" t="inlineStr">
        <is>
          <t>Formato</t>
        </is>
      </c>
      <c r="D106" s="9" t="inlineStr">
        <is>
          <t>Status</t>
        </is>
      </c>
    </row>
    <row r="107">
      <c r="A107" s="10" t="inlineStr">
        <is>
          <t>F1 — Frontal mãos juntas</t>
        </is>
      </c>
      <c r="B107" s="10" t="inlineStr">
        <is>
          <t>Origem: foto #1 (marinho, frontal, mãos juntas na cintura)</t>
        </is>
      </c>
      <c r="C107" s="10" t="inlineStr">
        <is>
          <t>4:5</t>
        </is>
      </c>
      <c r="D107" s="11" t="inlineStr">
        <is>
          <t>A gerar</t>
        </is>
      </c>
    </row>
    <row r="108">
      <c r="A108" s="10" t="inlineStr">
        <is>
          <t>F2 — 3/4 olhar para fora</t>
        </is>
      </c>
      <c r="B108" s="10" t="inlineStr">
        <is>
          <t>Origem: foto #2 (marinho, 3/4)</t>
        </is>
      </c>
      <c r="C108" s="10" t="inlineStr">
        <is>
          <t>4:5</t>
        </is>
      </c>
      <c r="D108" s="11" t="inlineStr">
        <is>
          <t>A gerar</t>
        </is>
      </c>
    </row>
    <row r="109">
      <c r="A109" s="10" t="inlineStr">
        <is>
          <t>F3 — Frontal ajustando o punho</t>
        </is>
      </c>
      <c r="B109" s="10" t="inlineStr">
        <is>
          <t>Origem: foto #3 (marinho, frontal, mão no punho)</t>
        </is>
      </c>
      <c r="C109" s="10" t="inlineStr">
        <is>
          <t>4:5</t>
        </is>
      </c>
      <c r="D109" s="11" t="inlineStr">
        <is>
          <t>A gerar</t>
        </is>
      </c>
    </row>
    <row r="110">
      <c r="A110" s="10" t="inlineStr">
        <is>
          <t>F4 — 3/4 claro</t>
        </is>
      </c>
      <c r="B110" s="10" t="inlineStr">
        <is>
          <t>Origem: foto #4 (off-white, 3/4)</t>
        </is>
      </c>
      <c r="C110" s="10" t="inlineStr">
        <is>
          <t>4:5</t>
        </is>
      </c>
      <c r="D110" s="11" t="inlineStr">
        <is>
          <t>A gerar</t>
        </is>
      </c>
    </row>
    <row r="111">
      <c r="A111" s="10" t="inlineStr">
        <is>
          <t>F5 — Detalhe punho e barra</t>
        </is>
      </c>
      <c r="B111" s="10" t="inlineStr">
        <is>
          <t>Origem: foto #5 (off-white, recorte das mãos na cintura)</t>
        </is>
      </c>
      <c r="C111" s="10" t="inlineStr">
        <is>
          <t>4:5</t>
        </is>
      </c>
      <c r="D111" s="11" t="inlineStr">
        <is>
          <t>A gerar</t>
        </is>
      </c>
    </row>
    <row r="112">
      <c r="A112" s="10" t="inlineStr">
        <is>
          <t>F6 — Frontal ajustando a manga (claro)</t>
        </is>
      </c>
      <c r="B112" s="10" t="inlineStr">
        <is>
          <t>Origem: foto #6 (off-white, frontal)</t>
        </is>
      </c>
      <c r="C112" s="10" t="inlineStr">
        <is>
          <t>4:5</t>
        </is>
      </c>
      <c r="D112" s="11" t="inlineStr">
        <is>
          <t>A gerar</t>
        </is>
      </c>
    </row>
    <row r="113">
      <c r="A113" s="10" t="inlineStr">
        <is>
          <t>F7 — Mão no pescoço</t>
        </is>
      </c>
      <c r="B113" s="10" t="inlineStr">
        <is>
          <t>Origem: foto #7 (verde, 3/4, mão na nuca/gola)</t>
        </is>
      </c>
      <c r="C113" s="10" t="inlineStr">
        <is>
          <t>4:5</t>
        </is>
      </c>
      <c r="D113" s="11" t="inlineStr">
        <is>
          <t>A gerar</t>
        </is>
      </c>
    </row>
    <row r="114">
      <c r="A114" s="10" t="inlineStr">
        <is>
          <t>F8 — Frontal mão atrás</t>
        </is>
      </c>
      <c r="B114" s="10" t="inlineStr">
        <is>
          <t>Origem: foto #8 (verde, frontal)</t>
        </is>
      </c>
      <c r="C114" s="10" t="inlineStr">
        <is>
          <t>4:5</t>
        </is>
      </c>
      <c r="D114" s="11" t="inlineStr">
        <is>
          <t>A gerar</t>
        </is>
      </c>
    </row>
    <row r="115">
      <c r="A115" s="10" t="inlineStr">
        <is>
          <t>F9 — Leve 3/4 verde</t>
        </is>
      </c>
      <c r="B115" s="10" t="inlineStr">
        <is>
          <t>Origem: foto #9 (verde, leve 3/4)</t>
        </is>
      </c>
      <c r="C115" s="10" t="inlineStr">
        <is>
          <t>4:5</t>
        </is>
      </c>
      <c r="D115" s="11" t="inlineStr">
        <is>
          <t>A gerar</t>
        </is>
      </c>
    </row>
    <row r="116">
      <c r="A116" s="10" t="inlineStr">
        <is>
          <t>F10 — Detalhe gola com mão</t>
        </is>
      </c>
      <c r="B116" s="10" t="inlineStr">
        <is>
          <t>Origem: foto #10 (preto, recorte do nariz ao peito, mão na gola)</t>
        </is>
      </c>
      <c r="C116" s="10" t="inlineStr">
        <is>
          <t>4:5</t>
        </is>
      </c>
      <c r="D116" s="11" t="inlineStr">
        <is>
          <t>A gerar</t>
        </is>
      </c>
    </row>
    <row r="117">
      <c r="A117" s="10" t="inlineStr">
        <is>
          <t>F11 — Perfil ajustando o punho</t>
        </is>
      </c>
      <c r="B117" s="10" t="inlineStr">
        <is>
          <t>Origem: foto #11 (preto, 3/4, olhar para o lado)</t>
        </is>
      </c>
      <c r="C117" s="10" t="inlineStr">
        <is>
          <t>4:5</t>
        </is>
      </c>
      <c r="D117" s="11" t="inlineStr">
        <is>
          <t>A gerar</t>
        </is>
      </c>
    </row>
    <row r="118">
      <c r="A118" s="10" t="inlineStr">
        <is>
          <t>F12 — Frontal preto</t>
        </is>
      </c>
      <c r="B118" s="10" t="inlineStr">
        <is>
          <t>Origem: foto #12 (preto, frontal)</t>
        </is>
      </c>
      <c r="C118" s="10" t="inlineStr">
        <is>
          <t>4:5</t>
        </is>
      </c>
      <c r="D118" s="11" t="inlineStr">
        <is>
          <t>A gerar</t>
        </is>
      </c>
    </row>
  </sheetData>
  <mergeCells count="43">
    <mergeCell ref="B4:F4"/>
    <mergeCell ref="A90:C90"/>
    <mergeCell ref="B7:F7"/>
    <mergeCell ref="A46:F46"/>
    <mergeCell ref="A84:F84"/>
    <mergeCell ref="A80:F80"/>
    <mergeCell ref="A37:F37"/>
    <mergeCell ref="B15:E15"/>
    <mergeCell ref="B24:E24"/>
    <mergeCell ref="B20:E20"/>
    <mergeCell ref="D91:F91"/>
    <mergeCell ref="A86:F86"/>
    <mergeCell ref="B26:E26"/>
    <mergeCell ref="A85:F85"/>
    <mergeCell ref="B11:F11"/>
    <mergeCell ref="D93:F93"/>
    <mergeCell ref="B16:E16"/>
    <mergeCell ref="B25:E25"/>
    <mergeCell ref="A91:C91"/>
    <mergeCell ref="B8:F8"/>
    <mergeCell ref="D92:F92"/>
    <mergeCell ref="B22:E22"/>
    <mergeCell ref="A81:F81"/>
    <mergeCell ref="B18:E18"/>
    <mergeCell ref="B27:E27"/>
    <mergeCell ref="A93:C93"/>
    <mergeCell ref="B10:F10"/>
    <mergeCell ref="D94:F94"/>
    <mergeCell ref="B21:E21"/>
    <mergeCell ref="A83:F83"/>
    <mergeCell ref="A92:C92"/>
    <mergeCell ref="B9:F9"/>
    <mergeCell ref="B17:E17"/>
    <mergeCell ref="B23:E23"/>
    <mergeCell ref="A82:F82"/>
    <mergeCell ref="D90:F90"/>
    <mergeCell ref="B6:F6"/>
    <mergeCell ref="A94:C94"/>
    <mergeCell ref="B5:F5"/>
    <mergeCell ref="A79:F79"/>
    <mergeCell ref="B19:E19"/>
    <mergeCell ref="B28:E28"/>
    <mergeCell ref="D95:F95"/>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30" customWidth="1" min="1" max="1"/>
    <col width="40" customWidth="1" min="2" max="2"/>
    <col width="11" customWidth="1" min="3" max="3"/>
    <col width="34" customWidth="1" min="4" max="4"/>
    <col width="16" customWidth="1" min="5" max="5"/>
    <col width="14" customWidth="1" min="6" max="6"/>
    <col width="10" customWidth="1" min="7" max="7"/>
    <col width="40" customWidth="1" min="8" max="8"/>
  </cols>
  <sheetData>
    <row r="1">
      <c r="A1" s="16" t="inlineStr">
        <is>
          <t>Produtos citados nos textos do fornecedor e sem página no site</t>
        </is>
      </c>
    </row>
    <row r="3">
      <c r="A3" s="17" t="inlineStr">
        <is>
          <t>Produto</t>
        </is>
      </c>
      <c r="B3" s="17" t="inlineStr">
        <is>
          <t>Composição</t>
        </is>
      </c>
      <c r="C3" s="17" t="inlineStr">
        <is>
          <t>Gramatura</t>
        </is>
      </c>
      <c r="D3" s="17" t="inlineStr">
        <is>
          <t>Construção</t>
        </is>
      </c>
      <c r="E3" s="17" t="inlineStr">
        <is>
          <t>Certificação</t>
        </is>
      </c>
      <c r="F3" s="17" t="inlineStr">
        <is>
          <t>Preço base (R$)</t>
        </is>
      </c>
      <c r="G3" s="17" t="inlineStr">
        <is>
          <t>Cores</t>
        </is>
      </c>
      <c r="H3" s="17" t="inlineStr">
        <is>
          <t>Observação</t>
        </is>
      </c>
    </row>
    <row r="4">
      <c r="A4" s="10" t="inlineStr">
        <is>
          <t>Prime Cotton BCI 160g</t>
        </is>
      </c>
      <c r="B4" s="10" t="inlineStr">
        <is>
          <t>100% algodão nacional BCI (G. hirsutum)</t>
        </is>
      </c>
      <c r="C4" s="10" t="inlineStr">
        <is>
          <t>160 g</t>
        </is>
      </c>
      <c r="D4" s="14" t="inlineStr">
        <is>
          <t>Fio 30/1 · fibra 24–26 mm (⚠️ texto P07: 24–28)</t>
        </is>
      </c>
      <c r="E4" s="10" t="inlineStr">
        <is>
          <t>BCI + OEKO-TEX</t>
        </is>
      </c>
      <c r="F4" s="41" t="n">
        <v>36.89</v>
      </c>
      <c r="G4" s="10" t="inlineStr">
        <is>
          <t>4 cores</t>
        </is>
      </c>
      <c r="H4" s="14" t="inlineStr">
        <is>
          <t>⚠️ Citada nos comparativos, mas NÃO aparece no site (busca e categorias em 30/09/2026) — perguntar se saiu de linha</t>
        </is>
      </c>
    </row>
    <row r="5">
      <c r="A5" s="10" t="inlineStr">
        <is>
          <t>Chinese Heavyweight Oversized</t>
        </is>
      </c>
      <c r="B5" s="10" t="inlineStr">
        <is>
          <t>Mesma malha do P05</t>
        </is>
      </c>
      <c r="C5" s="10" t="inlineStr">
        <is>
          <t>300 g</t>
        </is>
      </c>
      <c r="D5" s="10" t="inlineStr">
        <is>
          <t>Oversized P–G1 (tabela no dossiê P05)</t>
        </is>
      </c>
      <c r="E5" s="10" t="inlineStr">
        <is>
          <t>—</t>
        </is>
      </c>
      <c r="F5" s="41" t="n">
        <v>52.79</v>
      </c>
      <c r="G5" s="10" t="inlineStr">
        <is>
          <t>4 (P05)</t>
        </is>
      </c>
      <c r="H5" s="10" t="inlineStr">
        <is>
          <t>Variante do P05 sem página própria</t>
        </is>
      </c>
    </row>
    <row r="6">
      <c r="A6" s="10" t="inlineStr">
        <is>
          <t>Pima Cotton 200g (?)</t>
        </is>
      </c>
      <c r="B6" s="10" t="inlineStr">
        <is>
          <t>"100% algodão peruano" (tabela do texto P08)</t>
        </is>
      </c>
      <c r="C6" s="10" t="inlineStr">
        <is>
          <t>200 g</t>
        </is>
      </c>
      <c r="D6" s="10" t="inlineStr">
        <is>
          <t>—</t>
        </is>
      </c>
      <c r="E6" s="10" t="inlineStr">
        <is>
          <t>—</t>
        </is>
      </c>
      <c r="F6" s="11" t="inlineStr">
        <is>
          <t>sob consulta</t>
        </is>
      </c>
      <c r="G6" s="10" t="inlineStr">
        <is>
          <t>?</t>
        </is>
      </c>
      <c r="H6" s="10" t="inlineStr">
        <is>
          <t>Pode ser tabela desatualizada — confirmar</t>
        </is>
      </c>
    </row>
    <row r="7">
      <c r="A7" s="10" t="inlineStr">
        <is>
          <t>"Oversized Suedine 300g" 100% algodão</t>
        </is>
      </c>
      <c r="B7" s="14" t="inlineStr">
        <is>
          <t>⚠️ Texto do P02 diz 100% algodão penteado, 6 cores, R$ 42,00</t>
        </is>
      </c>
      <c r="C7" s="10" t="inlineStr">
        <is>
          <t>300 g</t>
        </is>
      </c>
      <c r="D7" s="10" t="inlineStr">
        <is>
          <t>—</t>
        </is>
      </c>
      <c r="E7" s="10" t="inlineStr">
        <is>
          <t>—</t>
        </is>
      </c>
      <c r="F7" s="41" t="n">
        <v>42</v>
      </c>
      <c r="G7" s="10" t="inlineStr">
        <is>
          <t>6</t>
        </is>
      </c>
      <c r="H7" s="14" t="inlineStr">
        <is>
          <t>⚠️ Contradiz a ficha P01 (52/48, R$ 54,00) — provável texto desatualizado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4"/>
  <sheetViews>
    <sheetView workbookViewId="0">
      <pane ySplit="3" topLeftCell="A4" activePane="bottomLeft" state="frozen"/>
      <selection pane="bottomLeft" activeCell="A1" sqref="A1"/>
    </sheetView>
  </sheetViews>
  <sheetFormatPr baseColWidth="8" defaultRowHeight="15"/>
  <cols>
    <col width="10" customWidth="1" min="1" max="1"/>
    <col width="60" customWidth="1" min="2" max="2"/>
    <col width="11" customWidth="1" min="3" max="3"/>
    <col width="11" customWidth="1" min="4" max="4"/>
    <col width="40" customWidth="1" min="5" max="5"/>
  </cols>
  <sheetData>
    <row r="1">
      <c r="A1" s="16" t="inlineStr">
        <is>
          <t>Pendências com o fornecedor — todos os produtos</t>
        </is>
      </c>
    </row>
    <row r="3">
      <c r="A3" s="17" t="inlineStr">
        <is>
          <t>Produto</t>
        </is>
      </c>
      <c r="B3" s="17" t="inlineStr">
        <is>
          <t>Pendência</t>
        </is>
      </c>
      <c r="C3" s="17" t="inlineStr">
        <is>
          <t>Prioridade</t>
        </is>
      </c>
      <c r="D3" s="17" t="inlineStr">
        <is>
          <t>Status</t>
        </is>
      </c>
      <c r="E3" s="17" t="inlineStr">
        <is>
          <t>Resposta</t>
        </is>
      </c>
    </row>
    <row r="4">
      <c r="A4" s="10" t="inlineStr">
        <is>
          <t>Geral</t>
        </is>
      </c>
      <c r="B4" s="10" t="inlineStr">
        <is>
          <t>Orçamento de personalização (silk, DTF, bordado, etiqueta, tag, caixa) por posição</t>
        </is>
      </c>
      <c r="C4" s="11" t="inlineStr">
        <is>
          <t>Alta</t>
        </is>
      </c>
      <c r="D4" s="11" t="inlineStr">
        <is>
          <t>Aberta</t>
        </is>
      </c>
      <c r="E4" s="11" t="inlineStr"/>
    </row>
    <row r="5">
      <c r="A5" s="10" t="inlineStr">
        <is>
          <t>Geral</t>
        </is>
      </c>
      <c r="B5" s="10" t="inlineStr">
        <is>
          <t>Frete Itajaí → São Paulo para 20 e 50 peças</t>
        </is>
      </c>
      <c r="C5" s="11" t="inlineStr">
        <is>
          <t>Alta</t>
        </is>
      </c>
      <c r="D5" s="11" t="inlineStr">
        <is>
          <t>Aberta</t>
        </is>
      </c>
      <c r="E5" s="11" t="inlineStr"/>
    </row>
    <row r="6">
      <c r="A6" s="10" t="inlineStr">
        <is>
          <t>Geral</t>
        </is>
      </c>
      <c r="B6" s="10" t="inlineStr">
        <is>
          <t>Tabela de medidas de todas as oversized</t>
        </is>
      </c>
      <c r="C6" s="11" t="inlineStr">
        <is>
          <t>Alta</t>
        </is>
      </c>
      <c r="D6" s="11" t="inlineStr">
        <is>
          <t>Aberta</t>
        </is>
      </c>
      <c r="E6" s="11" t="inlineStr"/>
    </row>
    <row r="7">
      <c r="A7" s="10" t="inlineStr">
        <is>
          <t>P01</t>
        </is>
      </c>
      <c r="B7" s="10" t="inlineStr">
        <is>
          <t>Tabela de medidas oversized</t>
        </is>
      </c>
      <c r="C7" s="11" t="inlineStr">
        <is>
          <t>Média</t>
        </is>
      </c>
      <c r="D7" s="11" t="inlineStr">
        <is>
          <t>Aberta</t>
        </is>
      </c>
      <c r="E7" s="11" t="inlineStr"/>
    </row>
    <row r="8">
      <c r="A8" s="10" t="inlineStr">
        <is>
          <t>P01</t>
        </is>
      </c>
      <c r="B8" s="10" t="inlineStr">
        <is>
          <t>Cartela real de cores</t>
        </is>
      </c>
      <c r="C8" s="11" t="inlineStr">
        <is>
          <t>Média</t>
        </is>
      </c>
      <c r="D8" s="11" t="inlineStr">
        <is>
          <t>Aberta</t>
        </is>
      </c>
      <c r="E8" s="11" t="inlineStr"/>
    </row>
    <row r="9">
      <c r="A9" s="10" t="inlineStr">
        <is>
          <t>P01</t>
        </is>
      </c>
      <c r="B9" s="10" t="inlineStr">
        <is>
          <t>O que significa "Peruano" no nome</t>
        </is>
      </c>
      <c r="C9" s="11" t="inlineStr">
        <is>
          <t>Alta</t>
        </is>
      </c>
      <c r="D9" s="11" t="inlineStr">
        <is>
          <t>Aberta</t>
        </is>
      </c>
      <c r="E9" s="11" t="inlineStr"/>
    </row>
    <row r="10">
      <c r="A10" s="10" t="inlineStr">
        <is>
          <t>P01</t>
        </is>
      </c>
      <c r="B10" s="10" t="inlineStr">
        <is>
          <t>Peça-teste de silk/DTF</t>
        </is>
      </c>
      <c r="C10" s="11" t="inlineStr">
        <is>
          <t>Média</t>
        </is>
      </c>
      <c r="D10" s="11" t="inlineStr">
        <is>
          <t>Aberta</t>
        </is>
      </c>
      <c r="E10" s="11" t="inlineStr"/>
    </row>
    <row r="11">
      <c r="A11" s="10" t="inlineStr">
        <is>
          <t>P01</t>
        </is>
      </c>
      <c r="B11" s="10" t="inlineStr">
        <is>
          <t>Orçamento de personalização</t>
        </is>
      </c>
      <c r="C11" s="11" t="inlineStr">
        <is>
          <t>Média</t>
        </is>
      </c>
      <c r="D11" s="11" t="inlineStr">
        <is>
          <t>Aberta</t>
        </is>
      </c>
      <c r="E11" s="11" t="inlineStr"/>
    </row>
    <row r="12">
      <c r="A12" s="10" t="inlineStr">
        <is>
          <t>P02</t>
        </is>
      </c>
      <c r="B12" s="10" t="inlineStr">
        <is>
          <t>Corrigir 300 g do resumo (é 185 g)</t>
        </is>
      </c>
      <c r="C12" s="11" t="inlineStr">
        <is>
          <t>Média</t>
        </is>
      </c>
      <c r="D12" s="11" t="inlineStr">
        <is>
          <t>Aberta</t>
        </is>
      </c>
      <c r="E12" s="11" t="inlineStr"/>
    </row>
    <row r="13">
      <c r="A13" s="10" t="inlineStr">
        <is>
          <t>P02</t>
        </is>
      </c>
      <c r="B13" s="10" t="inlineStr">
        <is>
          <t>Composição e preço da 'Oversized Suedine 300g' do comparativo (P10 × P01)</t>
        </is>
      </c>
      <c r="C13" s="11" t="inlineStr">
        <is>
          <t>Alta</t>
        </is>
      </c>
      <c r="D13" s="11" t="inlineStr">
        <is>
          <t>Aberta</t>
        </is>
      </c>
      <c r="E13" s="11" t="inlineStr"/>
    </row>
    <row r="14">
      <c r="A14" s="10" t="inlineStr">
        <is>
          <t>P02</t>
        </is>
      </c>
      <c r="B14" s="10" t="inlineStr">
        <is>
          <t>Estoque e preço da Estonada Oversized Bolso 175g</t>
        </is>
      </c>
      <c r="C14" s="11" t="inlineStr">
        <is>
          <t>Média</t>
        </is>
      </c>
      <c r="D14" s="11" t="inlineStr">
        <is>
          <t>Aberta</t>
        </is>
      </c>
      <c r="E14" s="11" t="inlineStr"/>
    </row>
    <row r="15">
      <c r="A15" s="10" t="inlineStr">
        <is>
          <t>P02</t>
        </is>
      </c>
      <c r="B15" s="10" t="inlineStr">
        <is>
          <t>Opacidade do branco com amostra</t>
        </is>
      </c>
      <c r="C15" s="11" t="inlineStr">
        <is>
          <t>Média</t>
        </is>
      </c>
      <c r="D15" s="11" t="inlineStr">
        <is>
          <t>Aberta</t>
        </is>
      </c>
      <c r="E15" s="11" t="inlineStr"/>
    </row>
    <row r="16">
      <c r="A16" s="10" t="inlineStr">
        <is>
          <t>P02</t>
        </is>
      </c>
      <c r="B16" s="10" t="inlineStr">
        <is>
          <t>Orçamento silk/DTF costas + etiqueta + tag</t>
        </is>
      </c>
      <c r="C16" s="11" t="inlineStr">
        <is>
          <t>Média</t>
        </is>
      </c>
      <c r="D16" s="11" t="inlineStr">
        <is>
          <t>Aberta</t>
        </is>
      </c>
      <c r="E16" s="11" t="inlineStr"/>
    </row>
    <row r="17">
      <c r="A17" s="10" t="inlineStr">
        <is>
          <t>P02</t>
        </is>
      </c>
      <c r="B17" s="10" t="inlineStr">
        <is>
          <t>6× com ou sem juros</t>
        </is>
      </c>
      <c r="C17" s="11" t="inlineStr">
        <is>
          <t>Média</t>
        </is>
      </c>
      <c r="D17" s="11" t="inlineStr">
        <is>
          <t>Aberta</t>
        </is>
      </c>
      <c r="E17" s="11" t="inlineStr"/>
    </row>
    <row r="18">
      <c r="A18" s="10" t="inlineStr">
        <is>
          <t>P03</t>
        </is>
      </c>
      <c r="B18" s="10" t="inlineStr">
        <is>
          <t>Origem/variedade do Pima + documento do fio (Supima?)</t>
        </is>
      </c>
      <c r="C18" s="11" t="inlineStr">
        <is>
          <t>Alta</t>
        </is>
      </c>
      <c r="D18" s="11" t="inlineStr">
        <is>
          <t>Aberta</t>
        </is>
      </c>
      <c r="E18" s="11" t="inlineStr"/>
    </row>
    <row r="19">
      <c r="A19" s="10" t="inlineStr">
        <is>
          <t>P03</t>
        </is>
      </c>
      <c r="B19" s="10" t="inlineStr">
        <is>
          <t>Título do fio</t>
        </is>
      </c>
      <c r="C19" s="11" t="inlineStr">
        <is>
          <t>Média</t>
        </is>
      </c>
      <c r="D19" s="11" t="inlineStr">
        <is>
          <t>Aberta</t>
        </is>
      </c>
      <c r="E19" s="11" t="inlineStr"/>
    </row>
    <row r="20">
      <c r="A20" s="10" t="inlineStr">
        <is>
          <t>P03</t>
        </is>
      </c>
      <c r="B20" s="10" t="inlineStr">
        <is>
          <t>Estoque de Preto, Off White e Verde</t>
        </is>
      </c>
      <c r="C20" s="11" t="inlineStr">
        <is>
          <t>Média</t>
        </is>
      </c>
      <c r="D20" s="11" t="inlineStr">
        <is>
          <t>Aberta</t>
        </is>
      </c>
      <c r="E20" s="11" t="inlineStr"/>
    </row>
    <row r="21">
      <c r="A21" s="10" t="inlineStr">
        <is>
          <t>P03</t>
        </is>
      </c>
      <c r="B21" s="10" t="inlineStr">
        <is>
          <t>Existe uma "Pima 200g"?</t>
        </is>
      </c>
      <c r="C21" s="11" t="inlineStr">
        <is>
          <t>Alta</t>
        </is>
      </c>
      <c r="D21" s="11" t="inlineStr">
        <is>
          <t>Aberta</t>
        </is>
      </c>
      <c r="E21" s="11" t="inlineStr"/>
    </row>
    <row r="22">
      <c r="A22" s="10" t="inlineStr">
        <is>
          <t>P03</t>
        </is>
      </c>
      <c r="B22" s="10" t="inlineStr">
        <is>
          <t>Orçamento bordado + etiqueta + caixa</t>
        </is>
      </c>
      <c r="C22" s="11" t="inlineStr">
        <is>
          <t>Média</t>
        </is>
      </c>
      <c r="D22" s="11" t="inlineStr">
        <is>
          <t>Aberta</t>
        </is>
      </c>
      <c r="E22" s="11" t="inlineStr"/>
    </row>
    <row r="23">
      <c r="A23" s="10" t="inlineStr">
        <is>
          <t>P04</t>
        </is>
      </c>
      <c r="B23" s="10" t="inlineStr">
        <is>
          <t>Cartela real (cinza chumbo existe?)</t>
        </is>
      </c>
      <c r="C23" s="11" t="inlineStr">
        <is>
          <t>Média</t>
        </is>
      </c>
      <c r="D23" s="11" t="inlineStr">
        <is>
          <t>Aberta</t>
        </is>
      </c>
      <c r="E23" s="11" t="inlineStr"/>
    </row>
    <row r="24">
      <c r="A24" s="10" t="inlineStr">
        <is>
          <t>P04</t>
        </is>
      </c>
      <c r="B24" s="10" t="inlineStr">
        <is>
          <t>Significado de "Peruano" no nome</t>
        </is>
      </c>
      <c r="C24" s="11" t="inlineStr">
        <is>
          <t>Alta</t>
        </is>
      </c>
      <c r="D24" s="11" t="inlineStr">
        <is>
          <t>Aberta</t>
        </is>
      </c>
      <c r="E24" s="11" t="inlineStr"/>
    </row>
    <row r="25">
      <c r="A25" s="10" t="inlineStr">
        <is>
          <t>P04</t>
        </is>
      </c>
      <c r="B25" s="10" t="inlineStr">
        <is>
          <t>Peça-teste silk/DTF</t>
        </is>
      </c>
      <c r="C25" s="11" t="inlineStr">
        <is>
          <t>Média</t>
        </is>
      </c>
      <c r="D25" s="11" t="inlineStr">
        <is>
          <t>Aberta</t>
        </is>
      </c>
      <c r="E25" s="11" t="inlineStr"/>
    </row>
    <row r="26">
      <c r="A26" s="10" t="inlineStr">
        <is>
          <t>P04</t>
        </is>
      </c>
      <c r="B26" s="10" t="inlineStr">
        <is>
          <t>Orçamento bordado + etiqueta + caixa</t>
        </is>
      </c>
      <c r="C26" s="11" t="inlineStr">
        <is>
          <t>Média</t>
        </is>
      </c>
      <c r="D26" s="11" t="inlineStr">
        <is>
          <t>Aberta</t>
        </is>
      </c>
      <c r="E26" s="11" t="inlineStr"/>
    </row>
    <row r="27">
      <c r="A27" s="10" t="inlineStr">
        <is>
          <t>P05</t>
        </is>
      </c>
      <c r="B27" s="10" t="inlineStr">
        <is>
          <t>Como pedir a oversized (SKU, fotos)</t>
        </is>
      </c>
      <c r="C27" s="11" t="inlineStr">
        <is>
          <t>Média</t>
        </is>
      </c>
      <c r="D27" s="11" t="inlineStr">
        <is>
          <t>Aberta</t>
        </is>
      </c>
      <c r="E27" s="11" t="inlineStr"/>
    </row>
    <row r="28">
      <c r="A28" s="10" t="inlineStr">
        <is>
          <t>P05</t>
        </is>
      </c>
      <c r="B28" s="10" t="inlineStr">
        <is>
          <t>Regular tem EG?</t>
        </is>
      </c>
      <c r="C28" s="11" t="inlineStr">
        <is>
          <t>Média</t>
        </is>
      </c>
      <c r="D28" s="11" t="inlineStr">
        <is>
          <t>Aberta</t>
        </is>
      </c>
      <c r="E28" s="11" t="inlineStr"/>
    </row>
    <row r="29">
      <c r="A29" s="10" t="inlineStr">
        <is>
          <t>P05</t>
        </is>
      </c>
      <c r="B29" s="10" t="inlineStr">
        <is>
          <t>Orçamento silk/DTF A3 + bordado</t>
        </is>
      </c>
      <c r="C29" s="11" t="inlineStr">
        <is>
          <t>Média</t>
        </is>
      </c>
      <c r="D29" s="11" t="inlineStr">
        <is>
          <t>Aberta</t>
        </is>
      </c>
      <c r="E29" s="11" t="inlineStr"/>
    </row>
    <row r="30">
      <c r="A30" s="10" t="inlineStr">
        <is>
          <t>P05</t>
        </is>
      </c>
      <c r="B30" s="10" t="inlineStr">
        <is>
          <t>Documentação de origem</t>
        </is>
      </c>
      <c r="C30" s="11" t="inlineStr">
        <is>
          <t>Média</t>
        </is>
      </c>
      <c r="D30" s="11" t="inlineStr">
        <is>
          <t>Aberta</t>
        </is>
      </c>
      <c r="E30" s="11" t="inlineStr"/>
    </row>
    <row r="31">
      <c r="A31" s="10" t="inlineStr">
        <is>
          <t>P05</t>
        </is>
      </c>
      <c r="B31" s="10" t="inlineStr">
        <is>
          <t>Resto do FAQ</t>
        </is>
      </c>
      <c r="C31" s="11" t="inlineStr">
        <is>
          <t>Média</t>
        </is>
      </c>
      <c r="D31" s="11" t="inlineStr">
        <is>
          <t>Aberta</t>
        </is>
      </c>
      <c r="E31" s="11" t="inlineStr"/>
    </row>
    <row r="32">
      <c r="A32" s="10" t="inlineStr">
        <is>
          <t>P06</t>
        </is>
      </c>
      <c r="B32" s="10" t="inlineStr">
        <is>
          <t>Gramatura real (160 × 180)</t>
        </is>
      </c>
      <c r="C32" s="11" t="inlineStr">
        <is>
          <t>Alta</t>
        </is>
      </c>
      <c r="D32" s="11" t="inlineStr">
        <is>
          <t>Aberta</t>
        </is>
      </c>
      <c r="E32" s="11" t="inlineStr"/>
    </row>
    <row r="33">
      <c r="A33" s="10" t="inlineStr">
        <is>
          <t>P06</t>
        </is>
      </c>
      <c r="B33" s="10" t="inlineStr">
        <is>
          <t>Orçamento de personalização</t>
        </is>
      </c>
      <c r="C33" s="11" t="inlineStr">
        <is>
          <t>Média</t>
        </is>
      </c>
      <c r="D33" s="11" t="inlineStr">
        <is>
          <t>Aberta</t>
        </is>
      </c>
      <c r="E33" s="11" t="inlineStr"/>
    </row>
    <row r="34">
      <c r="A34" s="10" t="inlineStr">
        <is>
          <t>P06</t>
        </is>
      </c>
      <c r="B34" s="10" t="inlineStr">
        <is>
          <t>Documentação de origem</t>
        </is>
      </c>
      <c r="C34" s="11" t="inlineStr">
        <is>
          <t>Média</t>
        </is>
      </c>
      <c r="D34" s="11" t="inlineStr">
        <is>
          <t>Aberta</t>
        </is>
      </c>
      <c r="E34" s="11" t="inlineStr"/>
    </row>
    <row r="35">
      <c r="A35" s="10" t="inlineStr">
        <is>
          <t>P06</t>
        </is>
      </c>
      <c r="B35" s="10" t="inlineStr">
        <is>
          <t>Comparar com Prime Cotton BCI</t>
        </is>
      </c>
      <c r="C35" s="11" t="inlineStr">
        <is>
          <t>Média</t>
        </is>
      </c>
      <c r="D35" s="11" t="inlineStr">
        <is>
          <t>Aberta</t>
        </is>
      </c>
      <c r="E35" s="11" t="inlineStr"/>
    </row>
    <row r="36">
      <c r="A36" s="10" t="inlineStr">
        <is>
          <t>P07</t>
        </is>
      </c>
      <c r="B36" s="10" t="inlineStr">
        <is>
          <t>Variedade: Pima peruano ou Tangüis?</t>
        </is>
      </c>
      <c r="C36" s="11" t="inlineStr">
        <is>
          <t>Alta</t>
        </is>
      </c>
      <c r="D36" s="11" t="inlineStr">
        <is>
          <t>Aberta</t>
        </is>
      </c>
      <c r="E36" s="11" t="inlineStr"/>
    </row>
    <row r="37">
      <c r="A37" s="10" t="inlineStr">
        <is>
          <t>P07</t>
        </is>
      </c>
      <c r="B37" s="10" t="inlineStr">
        <is>
          <t>Reposição</t>
        </is>
      </c>
      <c r="C37" s="11" t="inlineStr">
        <is>
          <t>Média</t>
        </is>
      </c>
      <c r="D37" s="11" t="inlineStr">
        <is>
          <t>Aberta</t>
        </is>
      </c>
      <c r="E37" s="11" t="inlineStr"/>
    </row>
    <row r="38">
      <c r="A38" s="10" t="inlineStr">
        <is>
          <t>P07</t>
        </is>
      </c>
      <c r="B38" s="10" t="inlineStr">
        <is>
          <t>Juros no cartão</t>
        </is>
      </c>
      <c r="C38" s="11" t="inlineStr">
        <is>
          <t>Média</t>
        </is>
      </c>
      <c r="D38" s="11" t="inlineStr">
        <is>
          <t>Aberta</t>
        </is>
      </c>
      <c r="E38" s="11" t="inlineStr"/>
    </row>
    <row r="39">
      <c r="A39" s="10" t="inlineStr">
        <is>
          <t>P07</t>
        </is>
      </c>
      <c r="B39" s="10" t="inlineStr">
        <is>
          <t>Orçamento bordado + etiqueta</t>
        </is>
      </c>
      <c r="C39" s="11" t="inlineStr">
        <is>
          <t>Média</t>
        </is>
      </c>
      <c r="D39" s="11" t="inlineStr">
        <is>
          <t>Aberta</t>
        </is>
      </c>
      <c r="E39" s="11" t="inlineStr"/>
    </row>
    <row r="40">
      <c r="A40" s="10" t="inlineStr">
        <is>
          <t>P07</t>
        </is>
      </c>
      <c r="B40" s="10" t="inlineStr">
        <is>
          <t>Frete Itajaí → SP</t>
        </is>
      </c>
      <c r="C40" s="11" t="inlineStr">
        <is>
          <t>Média</t>
        </is>
      </c>
      <c r="D40" s="11" t="inlineStr">
        <is>
          <t>Aberta</t>
        </is>
      </c>
      <c r="E40" s="11" t="inlineStr"/>
    </row>
    <row r="41">
      <c r="A41" s="10" t="inlineStr">
        <is>
          <t>P08</t>
        </is>
      </c>
      <c r="B41" s="10" t="inlineStr">
        <is>
          <t>Nº do certificado OEKO-TEX</t>
        </is>
      </c>
      <c r="C41" s="11" t="inlineStr">
        <is>
          <t>Alta</t>
        </is>
      </c>
      <c r="D41" s="11" t="inlineStr">
        <is>
          <t>Aberta</t>
        </is>
      </c>
      <c r="E41" s="11" t="inlineStr"/>
    </row>
    <row r="42">
      <c r="A42" s="10" t="inlineStr">
        <is>
          <t>P08</t>
        </is>
      </c>
      <c r="B42" s="10" t="inlineStr">
        <is>
          <t>Comprovação egípcio (Giza? Cotton Egypt?)</t>
        </is>
      </c>
      <c r="C42" s="11" t="inlineStr">
        <is>
          <t>Alta</t>
        </is>
      </c>
      <c r="D42" s="11" t="inlineStr">
        <is>
          <t>Aberta</t>
        </is>
      </c>
      <c r="E42" s="11" t="inlineStr"/>
    </row>
    <row r="43">
      <c r="A43" s="10" t="inlineStr">
        <is>
          <t>P08</t>
        </is>
      </c>
      <c r="B43" s="10" t="inlineStr">
        <is>
          <t>Estoque off white</t>
        </is>
      </c>
      <c r="C43" s="11" t="inlineStr">
        <is>
          <t>Média</t>
        </is>
      </c>
      <c r="D43" s="11" t="inlineStr">
        <is>
          <t>Aberta</t>
        </is>
      </c>
      <c r="E43" s="11" t="inlineStr"/>
    </row>
    <row r="44">
      <c r="A44" s="10" t="inlineStr">
        <is>
          <t>P08</t>
        </is>
      </c>
      <c r="B44" s="10" t="inlineStr">
        <is>
          <t>Modelagem feminina?</t>
        </is>
      </c>
      <c r="C44" s="11" t="inlineStr">
        <is>
          <t>Média</t>
        </is>
      </c>
      <c r="D44" s="11" t="inlineStr">
        <is>
          <t>Aberta</t>
        </is>
      </c>
      <c r="E44" s="11" t="inlineStr"/>
    </row>
    <row r="45">
      <c r="A45" s="10" t="inlineStr">
        <is>
          <t>P08</t>
        </is>
      </c>
      <c r="B45" s="10" t="inlineStr">
        <is>
          <t>Orçamento bordado com entretela</t>
        </is>
      </c>
      <c r="C45" s="11" t="inlineStr">
        <is>
          <t>Média</t>
        </is>
      </c>
      <c r="D45" s="11" t="inlineStr">
        <is>
          <t>Aberta</t>
        </is>
      </c>
      <c r="E45" s="11" t="inlineStr"/>
    </row>
    <row r="46">
      <c r="A46" s="10" t="inlineStr">
        <is>
          <t>P09</t>
        </is>
      </c>
      <c r="B46" s="10" t="inlineStr">
        <is>
          <t>Gramatura em g/m²</t>
        </is>
      </c>
      <c r="C46" s="11" t="inlineStr">
        <is>
          <t>Alta</t>
        </is>
      </c>
      <c r="D46" s="11" t="inlineStr">
        <is>
          <t>Aberta</t>
        </is>
      </c>
      <c r="E46" s="11" t="inlineStr"/>
    </row>
    <row r="47">
      <c r="A47" s="10" t="inlineStr">
        <is>
          <t>P09</t>
        </is>
      </c>
      <c r="B47" s="10" t="inlineStr">
        <is>
          <t>Composição em %</t>
        </is>
      </c>
      <c r="C47" s="11" t="inlineStr">
        <is>
          <t>Alta</t>
        </is>
      </c>
      <c r="D47" s="11" t="inlineStr">
        <is>
          <t>Aberta</t>
        </is>
      </c>
      <c r="E47" s="11" t="inlineStr"/>
    </row>
    <row r="48">
      <c r="A48" s="10" t="inlineStr">
        <is>
          <t>P09</t>
        </is>
      </c>
      <c r="B48" s="10" t="inlineStr">
        <is>
          <t>Referências de cor / caramelo</t>
        </is>
      </c>
      <c r="C48" s="11" t="inlineStr">
        <is>
          <t>Média</t>
        </is>
      </c>
      <c r="D48" s="11" t="inlineStr">
        <is>
          <t>Aberta</t>
        </is>
      </c>
      <c r="E48" s="11" t="inlineStr"/>
    </row>
    <row r="49">
      <c r="A49" s="10" t="inlineStr">
        <is>
          <t>P09</t>
        </is>
      </c>
      <c r="B49" s="10" t="inlineStr">
        <is>
          <t>Condições de pagamento</t>
        </is>
      </c>
      <c r="C49" s="11" t="inlineStr">
        <is>
          <t>Média</t>
        </is>
      </c>
      <c r="D49" s="11" t="inlineStr">
        <is>
          <t>Aberta</t>
        </is>
      </c>
      <c r="E49" s="11" t="inlineStr"/>
    </row>
    <row r="50">
      <c r="A50" s="10" t="inlineStr">
        <is>
          <t>P09</t>
        </is>
      </c>
      <c r="B50" s="10" t="inlineStr">
        <is>
          <t>Mínimos e preço de personalização</t>
        </is>
      </c>
      <c r="C50" s="11" t="inlineStr">
        <is>
          <t>Média</t>
        </is>
      </c>
      <c r="D50" s="11" t="inlineStr">
        <is>
          <t>Aberta</t>
        </is>
      </c>
      <c r="E50" s="11" t="inlineStr"/>
    </row>
    <row r="51">
      <c r="A51" s="10" t="inlineStr">
        <is>
          <t>P10</t>
        </is>
      </c>
      <c r="B51" s="10" t="inlineStr">
        <is>
          <t>Composição real (100% algodão × 52/48)</t>
        </is>
      </c>
      <c r="C51" s="11" t="inlineStr">
        <is>
          <t>Alta</t>
        </is>
      </c>
      <c r="D51" s="11" t="inlineStr">
        <is>
          <t>Aberta</t>
        </is>
      </c>
      <c r="E51" s="11" t="inlineStr"/>
    </row>
    <row r="52">
      <c r="A52" s="10" t="inlineStr">
        <is>
          <t>P10</t>
        </is>
      </c>
      <c r="B52" s="10" t="inlineStr">
        <is>
          <t>Diferença entre P10 e P01</t>
        </is>
      </c>
      <c r="C52" s="11" t="inlineStr">
        <is>
          <t>Média</t>
        </is>
      </c>
      <c r="D52" s="11" t="inlineStr">
        <is>
          <t>Aberta</t>
        </is>
      </c>
      <c r="E52" s="11" t="inlineStr"/>
    </row>
    <row r="53">
      <c r="A53" s="10" t="inlineStr">
        <is>
          <t>P10</t>
        </is>
      </c>
      <c r="B53" s="10" t="inlineStr">
        <is>
          <t>Ficha do tecido (interlock ou meia malha escovada)</t>
        </is>
      </c>
      <c r="C53" s="11" t="inlineStr">
        <is>
          <t>Média</t>
        </is>
      </c>
      <c r="D53" s="11" t="inlineStr">
        <is>
          <t>Aberta</t>
        </is>
      </c>
      <c r="E53" s="11" t="inlineStr"/>
    </row>
    <row r="54">
      <c r="A54" s="10" t="inlineStr">
        <is>
          <t>P10</t>
        </is>
      </c>
      <c r="B54" s="10" t="inlineStr">
        <is>
          <t>Tabela de medidas</t>
        </is>
      </c>
      <c r="C54" s="11" t="inlineStr">
        <is>
          <t>Média</t>
        </is>
      </c>
      <c r="D54" s="11" t="inlineStr">
        <is>
          <t>Aberta</t>
        </is>
      </c>
      <c r="E54" s="11" t="inlineStr"/>
    </row>
    <row r="55">
      <c r="A55" s="10" t="inlineStr">
        <is>
          <t>P10</t>
        </is>
      </c>
      <c r="B55" s="10" t="inlineStr">
        <is>
          <t>Mínimo R$ 28,99 × R$ 29,40</t>
        </is>
      </c>
      <c r="C55" s="11" t="inlineStr">
        <is>
          <t>Média</t>
        </is>
      </c>
      <c r="D55" s="11" t="inlineStr">
        <is>
          <t>Aberta</t>
        </is>
      </c>
      <c r="E55" s="11" t="inlineStr"/>
    </row>
    <row r="56">
      <c r="A56" s="10" t="inlineStr">
        <is>
          <t>P10</t>
        </is>
      </c>
      <c r="B56" s="10" t="inlineStr">
        <is>
          <t>Pix e parcelamento</t>
        </is>
      </c>
      <c r="C56" s="11" t="inlineStr">
        <is>
          <t>Média</t>
        </is>
      </c>
      <c r="D56" s="11" t="inlineStr">
        <is>
          <t>Aberta</t>
        </is>
      </c>
      <c r="E56" s="11" t="inlineStr"/>
    </row>
    <row r="57">
      <c r="A57" s="10" t="inlineStr">
        <is>
          <t>P10</t>
        </is>
      </c>
      <c r="B57" s="10" t="inlineStr">
        <is>
          <t>Estoque por cor e fotos de Bege/Marinho</t>
        </is>
      </c>
      <c r="C57" s="11" t="inlineStr">
        <is>
          <t>Média</t>
        </is>
      </c>
      <c r="D57" s="11" t="inlineStr">
        <is>
          <t>Aberta</t>
        </is>
      </c>
      <c r="E57" s="11" t="inlineStr"/>
    </row>
    <row r="58">
      <c r="A58" s="10" t="inlineStr">
        <is>
          <t>P10</t>
        </is>
      </c>
      <c r="B58" s="10" t="inlineStr">
        <is>
          <t>Peça-teste DTF/silk e orçamento de bordado costas</t>
        </is>
      </c>
      <c r="C58" s="11" t="inlineStr">
        <is>
          <t>Média</t>
        </is>
      </c>
      <c r="D58" s="11" t="inlineStr">
        <is>
          <t>Aberta</t>
        </is>
      </c>
      <c r="E58" s="11" t="inlineStr"/>
    </row>
    <row r="59">
      <c r="A59" s="10" t="inlineStr">
        <is>
          <t>P11</t>
        </is>
      </c>
      <c r="B59" s="10" t="inlineStr">
        <is>
          <t>Preço real (R$ 39,90 × R$ 28,99)</t>
        </is>
      </c>
      <c r="C59" s="11" t="inlineStr">
        <is>
          <t>Média</t>
        </is>
      </c>
      <c r="D59" s="11" t="inlineStr">
        <is>
          <t>Aberta</t>
        </is>
      </c>
      <c r="E59" s="11" t="inlineStr"/>
    </row>
    <row r="60">
      <c r="A60" s="10" t="inlineStr">
        <is>
          <t>P11</t>
        </is>
      </c>
      <c r="B60" s="10" t="inlineStr">
        <is>
          <t>Composição em %</t>
        </is>
      </c>
      <c r="C60" s="11" t="inlineStr">
        <is>
          <t>Alta</t>
        </is>
      </c>
      <c r="D60" s="11" t="inlineStr">
        <is>
          <t>Aberta</t>
        </is>
      </c>
      <c r="E60" s="11" t="inlineStr"/>
    </row>
    <row r="61">
      <c r="A61" s="10" t="inlineStr">
        <is>
          <t>P11</t>
        </is>
      </c>
      <c r="B61" s="10" t="inlineStr">
        <is>
          <t>Marinho × azul royal das fotos</t>
        </is>
      </c>
      <c r="C61" s="11" t="inlineStr">
        <is>
          <t>Média</t>
        </is>
      </c>
      <c r="D61" s="11" t="inlineStr">
        <is>
          <t>Aberta</t>
        </is>
      </c>
      <c r="E61" s="11" t="inlineStr"/>
    </row>
    <row r="62">
      <c r="A62" s="10" t="inlineStr">
        <is>
          <t>P11</t>
        </is>
      </c>
      <c r="B62" s="10" t="inlineStr">
        <is>
          <t>Foto do Azul Bebê</t>
        </is>
      </c>
      <c r="C62" s="11" t="inlineStr">
        <is>
          <t>Média</t>
        </is>
      </c>
      <c r="D62" s="11" t="inlineStr">
        <is>
          <t>Aberta</t>
        </is>
      </c>
      <c r="E62" s="11" t="inlineStr"/>
    </row>
    <row r="63">
      <c r="A63" s="10" t="inlineStr">
        <is>
          <t>P11</t>
        </is>
      </c>
      <c r="B63" s="10" t="inlineStr">
        <is>
          <t>Sublimação: % e cores</t>
        </is>
      </c>
      <c r="C63" s="11" t="inlineStr">
        <is>
          <t>Média</t>
        </is>
      </c>
      <c r="D63" s="11" t="inlineStr">
        <is>
          <t>Aberta</t>
        </is>
      </c>
      <c r="E63" s="11" t="inlineStr"/>
    </row>
    <row r="64">
      <c r="A64" s="10" t="inlineStr">
        <is>
          <t>P11</t>
        </is>
      </c>
      <c r="B64" s="10" t="inlineStr">
        <is>
          <t>Bloqueador de migração no plastisol</t>
        </is>
      </c>
      <c r="C64" s="11" t="inlineStr">
        <is>
          <t>Média</t>
        </is>
      </c>
      <c r="D64" s="11" t="inlineStr">
        <is>
          <t>Aberta</t>
        </is>
      </c>
      <c r="E64" s="11" t="inlineStr"/>
    </row>
    <row r="65">
      <c r="A65" s="10" t="inlineStr">
        <is>
          <t>P11</t>
        </is>
      </c>
      <c r="B65" s="10" t="inlineStr">
        <is>
          <t>Orçamento silk 1 cor peito, bordado, etiqueta</t>
        </is>
      </c>
      <c r="C65" s="11" t="inlineStr">
        <is>
          <t>Média</t>
        </is>
      </c>
      <c r="D65" s="11" t="inlineStr">
        <is>
          <t>Aberta</t>
        </is>
      </c>
      <c r="E65" s="11" t="inlineStr"/>
    </row>
    <row r="66">
      <c r="A66" s="10" t="inlineStr">
        <is>
          <t>P12</t>
        </is>
      </c>
      <c r="B66" s="10" t="inlineStr">
        <is>
          <t>Nº OEKO-TEX e comprovante Better Cotton</t>
        </is>
      </c>
      <c r="C66" s="11" t="inlineStr">
        <is>
          <t>Alta</t>
        </is>
      </c>
      <c r="D66" s="11" t="inlineStr">
        <is>
          <t>Aberta</t>
        </is>
      </c>
      <c r="E66" s="11" t="inlineStr"/>
    </row>
    <row r="67">
      <c r="A67" s="10" t="inlineStr">
        <is>
          <t>P12</t>
        </is>
      </c>
      <c r="B67" s="10" t="inlineStr">
        <is>
          <t>Origem nacional do algodão por escrito</t>
        </is>
      </c>
      <c r="C67" s="11" t="inlineStr">
        <is>
          <t>Alta</t>
        </is>
      </c>
      <c r="D67" s="11" t="inlineStr">
        <is>
          <t>Aberta</t>
        </is>
      </c>
      <c r="E67" s="11" t="inlineStr"/>
    </row>
    <row r="68">
      <c r="A68" s="10" t="inlineStr">
        <is>
          <t>P12</t>
        </is>
      </c>
      <c r="B68" s="10" t="inlineStr">
        <is>
          <t>Significado de 'compact'</t>
        </is>
      </c>
      <c r="C68" s="11" t="inlineStr">
        <is>
          <t>Média</t>
        </is>
      </c>
      <c r="D68" s="11" t="inlineStr">
        <is>
          <t>Aberta</t>
        </is>
      </c>
      <c r="E68" s="11" t="inlineStr"/>
    </row>
    <row r="69">
      <c r="A69" s="10" t="inlineStr">
        <is>
          <t>P12</t>
        </is>
      </c>
      <c r="B69" s="10" t="inlineStr">
        <is>
          <t>Preço R$ 42,08 × R$ 42,09; Pix e parcelamento</t>
        </is>
      </c>
      <c r="C69" s="11" t="inlineStr">
        <is>
          <t>Média</t>
        </is>
      </c>
      <c r="D69" s="11" t="inlineStr">
        <is>
          <t>Aberta</t>
        </is>
      </c>
      <c r="E69" s="11" t="inlineStr"/>
    </row>
    <row r="70">
      <c r="A70" s="10" t="inlineStr">
        <is>
          <t>P12</t>
        </is>
      </c>
      <c r="B70" s="10" t="inlineStr">
        <is>
          <t>Refs. de cor e fotos de Terracota, Marrom, Bege, Marinho</t>
        </is>
      </c>
      <c r="C70" s="11" t="inlineStr">
        <is>
          <t>Média</t>
        </is>
      </c>
      <c r="D70" s="11" t="inlineStr">
        <is>
          <t>Aberta</t>
        </is>
      </c>
      <c r="E70" s="11" t="inlineStr"/>
    </row>
    <row r="71">
      <c r="A71" s="10" t="inlineStr">
        <is>
          <t>P12</t>
        </is>
      </c>
      <c r="B71" s="10" t="inlineStr">
        <is>
          <t>Grade feminina/PP</t>
        </is>
      </c>
      <c r="C71" s="11" t="inlineStr">
        <is>
          <t>Média</t>
        </is>
      </c>
      <c r="D71" s="11" t="inlineStr">
        <is>
          <t>Aberta</t>
        </is>
      </c>
      <c r="E71" s="11" t="inlineStr"/>
    </row>
    <row r="72">
      <c r="A72" s="10" t="inlineStr">
        <is>
          <t>P12</t>
        </is>
      </c>
      <c r="B72" s="10" t="inlineStr">
        <is>
          <t>Orçamento bordado peito + etiqueta + tag</t>
        </is>
      </c>
      <c r="C72" s="11" t="inlineStr">
        <is>
          <t>Média</t>
        </is>
      </c>
      <c r="D72" s="11" t="inlineStr">
        <is>
          <t>Aberta</t>
        </is>
      </c>
      <c r="E72" s="11" t="inlineStr"/>
    </row>
    <row r="73">
      <c r="A73" s="10" t="inlineStr">
        <is>
          <t>P12</t>
        </is>
      </c>
      <c r="B73" s="10" t="inlineStr">
        <is>
          <t>Frete Itajaí → SP</t>
        </is>
      </c>
      <c r="C73" s="11" t="inlineStr">
        <is>
          <t>Média</t>
        </is>
      </c>
      <c r="D73" s="11" t="inlineStr">
        <is>
          <t>Aberta</t>
        </is>
      </c>
      <c r="E73" s="11" t="inlineStr"/>
    </row>
    <row r="74">
      <c r="A74" s="10" t="inlineStr">
        <is>
          <t>P13</t>
        </is>
      </c>
      <c r="B74" s="10" t="inlineStr">
        <is>
          <t>Confirmar se P13 = P14 (mesma malha/lote) e cartela real do P13</t>
        </is>
      </c>
      <c r="C74" s="11" t="inlineStr">
        <is>
          <t>Média</t>
        </is>
      </c>
      <c r="D74" s="11" t="inlineStr">
        <is>
          <t>Aberta</t>
        </is>
      </c>
      <c r="E74" s="11" t="inlineStr"/>
    </row>
    <row r="75">
      <c r="A75" s="10" t="inlineStr">
        <is>
          <t>P13</t>
        </is>
      </c>
      <c r="B75" s="10" t="inlineStr">
        <is>
          <t>Identificar a cor ameixa das fotos #11–13</t>
        </is>
      </c>
      <c r="C75" s="11" t="inlineStr">
        <is>
          <t>Média</t>
        </is>
      </c>
      <c r="D75" s="11" t="inlineStr">
        <is>
          <t>Aberta</t>
        </is>
      </c>
      <c r="E75" s="11" t="inlineStr"/>
    </row>
    <row r="76">
      <c r="A76" s="10" t="inlineStr">
        <is>
          <t>P13</t>
        </is>
      </c>
      <c r="B76" s="10" t="inlineStr">
        <is>
          <t>Confirmar gramatura (175 g/m² × 180 GSM dos banners)</t>
        </is>
      </c>
      <c r="C76" s="11" t="inlineStr">
        <is>
          <t>Média</t>
        </is>
      </c>
      <c r="D76" s="11" t="inlineStr">
        <is>
          <t>Aberta</t>
        </is>
      </c>
      <c r="E76" s="11" t="inlineStr"/>
    </row>
    <row r="77">
      <c r="A77" s="10" t="inlineStr">
        <is>
          <t>P13</t>
        </is>
      </c>
      <c r="B77" s="10" t="inlineStr">
        <is>
          <t>Orçamento de personalização (bordado pequeno, DTF, etiqueta, tag) e frete Itajaí → SP</t>
        </is>
      </c>
      <c r="C77" s="11" t="inlineStr">
        <is>
          <t>Média</t>
        </is>
      </c>
      <c r="D77" s="11" t="inlineStr">
        <is>
          <t>Aberta</t>
        </is>
      </c>
      <c r="E77" s="11" t="inlineStr"/>
    </row>
    <row r="78">
      <c r="A78" s="10" t="inlineStr">
        <is>
          <t>P13</t>
        </is>
      </c>
      <c r="B78" s="10" t="inlineStr">
        <is>
          <t>Origem do algodão (não citada nesta página)</t>
        </is>
      </c>
      <c r="C78" s="11" t="inlineStr">
        <is>
          <t>Alta</t>
        </is>
      </c>
      <c r="D78" s="11" t="inlineStr">
        <is>
          <t>Aberta</t>
        </is>
      </c>
      <c r="E78" s="11" t="inlineStr"/>
    </row>
    <row r="79">
      <c r="A79" s="10" t="inlineStr">
        <is>
          <t>P13</t>
        </is>
      </c>
      <c r="B79" s="10" t="inlineStr">
        <is>
          <t>Tolerância de variação de tom entre lotes</t>
        </is>
      </c>
      <c r="C79" s="11" t="inlineStr">
        <is>
          <t>Média</t>
        </is>
      </c>
      <c r="D79" s="11" t="inlineStr">
        <is>
          <t>Aberta</t>
        </is>
      </c>
      <c r="E79" s="11" t="inlineStr"/>
    </row>
    <row r="80">
      <c r="A80" s="10" t="inlineStr">
        <is>
          <t>P14</t>
        </is>
      </c>
      <c r="B80" s="10" t="inlineStr">
        <is>
          <t>Estonagem própria × lavanderia terceirizada</t>
        </is>
      </c>
      <c r="C80" s="11" t="inlineStr">
        <is>
          <t>Média</t>
        </is>
      </c>
      <c r="D80" s="11" t="inlineStr">
        <is>
          <t>Aberta</t>
        </is>
      </c>
      <c r="E80" s="11" t="inlineStr"/>
    </row>
    <row r="81">
      <c r="A81" s="10" t="inlineStr">
        <is>
          <t>P14</t>
        </is>
      </c>
      <c r="B81" s="10" t="inlineStr">
        <is>
          <t>Confirmar gramatura (175 g/m² × 180 GSM dos banners)</t>
        </is>
      </c>
      <c r="C81" s="11" t="inlineStr">
        <is>
          <t>Média</t>
        </is>
      </c>
      <c r="D81" s="11" t="inlineStr">
        <is>
          <t>Aberta</t>
        </is>
      </c>
      <c r="E81" s="11" t="inlineStr"/>
    </row>
    <row r="82">
      <c r="A82" s="10" t="inlineStr">
        <is>
          <t>P14</t>
        </is>
      </c>
      <c r="B82" s="10" t="inlineStr">
        <is>
          <t>Orçamento de personalização (bordado pequeno, DTF, etiqueta, tag) e frete Itajaí → SP</t>
        </is>
      </c>
      <c r="C82" s="11" t="inlineStr">
        <is>
          <t>Média</t>
        </is>
      </c>
      <c r="D82" s="11" t="inlineStr">
        <is>
          <t>Aberta</t>
        </is>
      </c>
      <c r="E82" s="11" t="inlineStr"/>
    </row>
    <row r="83">
      <c r="A83" s="10" t="inlineStr">
        <is>
          <t>P14</t>
        </is>
      </c>
      <c r="B83" s="10" t="inlineStr">
        <is>
          <t>Origem do algodão (não citada nesta página)</t>
        </is>
      </c>
      <c r="C83" s="11" t="inlineStr">
        <is>
          <t>Alta</t>
        </is>
      </c>
      <c r="D83" s="11" t="inlineStr">
        <is>
          <t>Aberta</t>
        </is>
      </c>
      <c r="E83" s="11" t="inlineStr"/>
    </row>
    <row r="84">
      <c r="A84" s="10" t="inlineStr">
        <is>
          <t>P14</t>
        </is>
      </c>
      <c r="B84" s="10" t="inlineStr">
        <is>
          <t>Tolerância de variação de tom entre lotes</t>
        </is>
      </c>
      <c r="C84" s="11" t="inlineStr">
        <is>
          <t>Média</t>
        </is>
      </c>
      <c r="D84" s="11" t="inlineStr">
        <is>
          <t>Aberta</t>
        </is>
      </c>
      <c r="E84" s="11" t="inlineStr"/>
    </row>
    <row r="85">
      <c r="A85" s="10" t="inlineStr">
        <is>
          <t>P15</t>
        </is>
      </c>
      <c r="B85" s="10" t="inlineStr">
        <is>
          <t>Solidez à luz/lavagem do neon</t>
        </is>
      </c>
      <c r="C85" s="11" t="inlineStr">
        <is>
          <t>Média</t>
        </is>
      </c>
      <c r="D85" s="11" t="inlineStr">
        <is>
          <t>Aberta</t>
        </is>
      </c>
      <c r="E85" s="11" t="inlineStr"/>
    </row>
    <row r="86">
      <c r="A86" s="10" t="inlineStr">
        <is>
          <t>P15</t>
        </is>
      </c>
      <c r="B86" s="10" t="inlineStr">
        <is>
          <t>Existência das cores pastel do banner #13</t>
        </is>
      </c>
      <c r="C86" s="11" t="inlineStr">
        <is>
          <t>Média</t>
        </is>
      </c>
      <c r="D86" s="11" t="inlineStr">
        <is>
          <t>Aberta</t>
        </is>
      </c>
      <c r="E86" s="11" t="inlineStr"/>
    </row>
    <row r="87">
      <c r="A87" s="10" t="inlineStr">
        <is>
          <t>P15</t>
        </is>
      </c>
      <c r="B87" s="10" t="inlineStr">
        <is>
          <t>Confirmar gramatura (175 g/m² × 180 GSM dos banners)</t>
        </is>
      </c>
      <c r="C87" s="11" t="inlineStr">
        <is>
          <t>Média</t>
        </is>
      </c>
      <c r="D87" s="11" t="inlineStr">
        <is>
          <t>Aberta</t>
        </is>
      </c>
      <c r="E87" s="11" t="inlineStr"/>
    </row>
    <row r="88">
      <c r="A88" s="10" t="inlineStr">
        <is>
          <t>P15</t>
        </is>
      </c>
      <c r="B88" s="10" t="inlineStr">
        <is>
          <t>Orçamento de personalização (bordado pequeno, DTF, etiqueta, tag) e frete Itajaí → SP</t>
        </is>
      </c>
      <c r="C88" s="11" t="inlineStr">
        <is>
          <t>Média</t>
        </is>
      </c>
      <c r="D88" s="11" t="inlineStr">
        <is>
          <t>Aberta</t>
        </is>
      </c>
      <c r="E88" s="11" t="inlineStr"/>
    </row>
    <row r="89">
      <c r="A89" s="10" t="inlineStr">
        <is>
          <t>P15</t>
        </is>
      </c>
      <c r="B89" s="10" t="inlineStr">
        <is>
          <t>Origem do algodão (não citada nesta página)</t>
        </is>
      </c>
      <c r="C89" s="11" t="inlineStr">
        <is>
          <t>Alta</t>
        </is>
      </c>
      <c r="D89" s="11" t="inlineStr">
        <is>
          <t>Aberta</t>
        </is>
      </c>
      <c r="E89" s="11" t="inlineStr"/>
    </row>
    <row r="90">
      <c r="A90" s="10" t="inlineStr">
        <is>
          <t>P15</t>
        </is>
      </c>
      <c r="B90" s="10" t="inlineStr">
        <is>
          <t>Tolerância de variação de tom entre lotes</t>
        </is>
      </c>
      <c r="C90" s="11" t="inlineStr">
        <is>
          <t>Média</t>
        </is>
      </c>
      <c r="D90" s="11" t="inlineStr">
        <is>
          <t>Aberta</t>
        </is>
      </c>
      <c r="E90" s="11" t="inlineStr"/>
    </row>
    <row r="91">
      <c r="A91" s="10" t="inlineStr">
        <is>
          <t>P16</t>
        </is>
      </c>
      <c r="B91" s="10" t="inlineStr">
        <is>
          <t>Tabela de mangas × P17</t>
        </is>
      </c>
      <c r="C91" s="11" t="inlineStr">
        <is>
          <t>Média</t>
        </is>
      </c>
      <c r="D91" s="11" t="inlineStr">
        <is>
          <t>Aberta</t>
        </is>
      </c>
      <c r="E91" s="11" t="inlineStr"/>
    </row>
    <row r="92">
      <c r="A92" s="10" t="inlineStr">
        <is>
          <t>P16</t>
        </is>
      </c>
      <c r="B92" s="10" t="inlineStr">
        <is>
          <t>Fotos de Preto e Azul Marinho</t>
        </is>
      </c>
      <c r="C92" s="11" t="inlineStr">
        <is>
          <t>Média</t>
        </is>
      </c>
      <c r="D92" s="11" t="inlineStr">
        <is>
          <t>Aberta</t>
        </is>
      </c>
      <c r="E92" s="11" t="inlineStr"/>
    </row>
    <row r="93">
      <c r="A93" s="10" t="inlineStr">
        <is>
          <t>P16</t>
        </is>
      </c>
      <c r="B93" s="10" t="inlineStr">
        <is>
          <t>Confirmar gramatura (175 g/m² × 180 GSM dos banners)</t>
        </is>
      </c>
      <c r="C93" s="11" t="inlineStr">
        <is>
          <t>Média</t>
        </is>
      </c>
      <c r="D93" s="11" t="inlineStr">
        <is>
          <t>Aberta</t>
        </is>
      </c>
      <c r="E93" s="11" t="inlineStr"/>
    </row>
    <row r="94">
      <c r="A94" s="10" t="inlineStr">
        <is>
          <t>P16</t>
        </is>
      </c>
      <c r="B94" s="10" t="inlineStr">
        <is>
          <t>Orçamento de personalização (bordado pequeno, DTF, etiqueta, tag) e frete Itajaí → SP</t>
        </is>
      </c>
      <c r="C94" s="11" t="inlineStr">
        <is>
          <t>Média</t>
        </is>
      </c>
      <c r="D94" s="11" t="inlineStr">
        <is>
          <t>Aberta</t>
        </is>
      </c>
      <c r="E94" s="11" t="inlineStr"/>
    </row>
    <row r="95">
      <c r="A95" s="10" t="inlineStr">
        <is>
          <t>P16</t>
        </is>
      </c>
      <c r="B95" s="10" t="inlineStr">
        <is>
          <t>Origem do algodão (não citada nesta página)</t>
        </is>
      </c>
      <c r="C95" s="11" t="inlineStr">
        <is>
          <t>Alta</t>
        </is>
      </c>
      <c r="D95" s="11" t="inlineStr">
        <is>
          <t>Aberta</t>
        </is>
      </c>
      <c r="E95" s="11" t="inlineStr"/>
    </row>
    <row r="96">
      <c r="A96" s="10" t="inlineStr">
        <is>
          <t>P16</t>
        </is>
      </c>
      <c r="B96" s="10" t="inlineStr">
        <is>
          <t>Tolerância de variação de tom entre lotes</t>
        </is>
      </c>
      <c r="C96" s="11" t="inlineStr">
        <is>
          <t>Média</t>
        </is>
      </c>
      <c r="D96" s="11" t="inlineStr">
        <is>
          <t>Aberta</t>
        </is>
      </c>
      <c r="E96" s="11" t="inlineStr"/>
    </row>
    <row r="97">
      <c r="A97" s="10" t="inlineStr">
        <is>
          <t>P17</t>
        </is>
      </c>
      <c r="B97" s="10" t="inlineStr">
        <is>
          <t>Previsão de reposição</t>
        </is>
      </c>
      <c r="C97" s="11" t="inlineStr">
        <is>
          <t>Média</t>
        </is>
      </c>
      <c r="D97" s="11" t="inlineStr">
        <is>
          <t>Aberta</t>
        </is>
      </c>
      <c r="E97" s="11" t="inlineStr"/>
    </row>
    <row r="98">
      <c r="A98" s="10" t="inlineStr">
        <is>
          <t>P17</t>
        </is>
      </c>
      <c r="B98" s="10" t="inlineStr">
        <is>
          <t>Tabela de mangas × P16</t>
        </is>
      </c>
      <c r="C98" s="11" t="inlineStr">
        <is>
          <t>Média</t>
        </is>
      </c>
      <c r="D98" s="11" t="inlineStr">
        <is>
          <t>Aberta</t>
        </is>
      </c>
      <c r="E98" s="11" t="inlineStr"/>
    </row>
    <row r="99">
      <c r="A99" s="10" t="inlineStr">
        <is>
          <t>P17</t>
        </is>
      </c>
      <c r="B99" s="10" t="inlineStr">
        <is>
          <t>Tom do "Azul"</t>
        </is>
      </c>
      <c r="C99" s="11" t="inlineStr">
        <is>
          <t>Média</t>
        </is>
      </c>
      <c r="D99" s="11" t="inlineStr">
        <is>
          <t>Aberta</t>
        </is>
      </c>
      <c r="E99" s="11" t="inlineStr"/>
    </row>
    <row r="100">
      <c r="A100" s="10" t="inlineStr">
        <is>
          <t>P17</t>
        </is>
      </c>
      <c r="B100" s="10" t="inlineStr">
        <is>
          <t>Medida e posição do bolso</t>
        </is>
      </c>
      <c r="C100" s="11" t="inlineStr">
        <is>
          <t>Média</t>
        </is>
      </c>
      <c r="D100" s="11" t="inlineStr">
        <is>
          <t>Aberta</t>
        </is>
      </c>
      <c r="E100" s="11" t="inlineStr"/>
    </row>
    <row r="101">
      <c r="A101" s="10" t="inlineStr">
        <is>
          <t>P17</t>
        </is>
      </c>
      <c r="B101" s="10" t="inlineStr">
        <is>
          <t>Confirmar gramatura (175 g/m² × 180 GSM dos banners)</t>
        </is>
      </c>
      <c r="C101" s="11" t="inlineStr">
        <is>
          <t>Média</t>
        </is>
      </c>
      <c r="D101" s="11" t="inlineStr">
        <is>
          <t>Aberta</t>
        </is>
      </c>
      <c r="E101" s="11" t="inlineStr"/>
    </row>
    <row r="102">
      <c r="A102" s="10" t="inlineStr">
        <is>
          <t>P17</t>
        </is>
      </c>
      <c r="B102" s="10" t="inlineStr">
        <is>
          <t>Orçamento de personalização (bordado pequeno, DTF, etiqueta, tag) e frete Itajaí → SP</t>
        </is>
      </c>
      <c r="C102" s="11" t="inlineStr">
        <is>
          <t>Média</t>
        </is>
      </c>
      <c r="D102" s="11" t="inlineStr">
        <is>
          <t>Aberta</t>
        </is>
      </c>
      <c r="E102" s="11" t="inlineStr"/>
    </row>
    <row r="103">
      <c r="A103" s="10" t="inlineStr">
        <is>
          <t>P17</t>
        </is>
      </c>
      <c r="B103" s="10" t="inlineStr">
        <is>
          <t>Origem do algodão (não citada nesta página)</t>
        </is>
      </c>
      <c r="C103" s="11" t="inlineStr">
        <is>
          <t>Alta</t>
        </is>
      </c>
      <c r="D103" s="11" t="inlineStr">
        <is>
          <t>Aberta</t>
        </is>
      </c>
      <c r="E103" s="11" t="inlineStr"/>
    </row>
    <row r="104">
      <c r="A104" s="10" t="inlineStr">
        <is>
          <t>P17</t>
        </is>
      </c>
      <c r="B104" s="10" t="inlineStr">
        <is>
          <t>Tolerância de variação de tom entre lotes</t>
        </is>
      </c>
      <c r="C104" s="11" t="inlineStr">
        <is>
          <t>Média</t>
        </is>
      </c>
      <c r="D104" s="11" t="inlineStr">
        <is>
          <t>Aberta</t>
        </is>
      </c>
      <c r="E104" s="11" t="inlineStr"/>
    </row>
    <row r="105">
      <c r="A105" s="10" t="inlineStr">
        <is>
          <t>P18</t>
        </is>
      </c>
      <c r="B105" s="10" t="inlineStr">
        <is>
          <t>Reposição e cartela real (página esgotada × FAQ em estoque)</t>
        </is>
      </c>
      <c r="C105" s="11" t="inlineStr">
        <is>
          <t>Média</t>
        </is>
      </c>
      <c r="D105" s="11" t="inlineStr">
        <is>
          <t>Aberta</t>
        </is>
      </c>
      <c r="E105" s="11" t="inlineStr"/>
    </row>
    <row r="106">
      <c r="A106" s="10" t="inlineStr">
        <is>
          <t>P18</t>
        </is>
      </c>
      <c r="B106" s="10" t="inlineStr">
        <is>
          <t>Origem do "algodão premium importado" (Xinjiang?)</t>
        </is>
      </c>
      <c r="C106" s="11" t="inlineStr">
        <is>
          <t>Alta</t>
        </is>
      </c>
      <c r="D106" s="11" t="inlineStr">
        <is>
          <t>Aberta</t>
        </is>
      </c>
      <c r="E106" s="11" t="inlineStr"/>
    </row>
    <row r="107">
      <c r="A107" s="10" t="inlineStr">
        <is>
          <t>P18</t>
        </is>
      </c>
      <c r="B107" s="10" t="inlineStr">
        <is>
          <t>Amostra física: largura real das nervuras e aspecto (as fotos parecem jacquard irregular)</t>
        </is>
      </c>
      <c r="C107" s="11" t="inlineStr">
        <is>
          <t>Média</t>
        </is>
      </c>
      <c r="D107" s="11" t="inlineStr">
        <is>
          <t>Aberta</t>
        </is>
      </c>
      <c r="E107" s="11" t="inlineStr"/>
    </row>
    <row r="108">
      <c r="A108" s="10" t="inlineStr">
        <is>
          <t>P18</t>
        </is>
      </c>
      <c r="B108" s="10" t="inlineStr">
        <is>
          <t>Preto das fotos #7–#9 é Preto ou Marinho?</t>
        </is>
      </c>
      <c r="C108" s="11" t="inlineStr">
        <is>
          <t>Média</t>
        </is>
      </c>
      <c r="D108" s="11" t="inlineStr">
        <is>
          <t>Aberta</t>
        </is>
      </c>
      <c r="E108" s="11" t="inlineStr"/>
    </row>
    <row r="109">
      <c r="A109" s="10" t="inlineStr">
        <is>
          <t>P18</t>
        </is>
      </c>
      <c r="B109" s="10" t="inlineStr">
        <is>
          <t>Orçamento: bordado peito, etiqueta, tag; teste de DTF sobre o canelado</t>
        </is>
      </c>
      <c r="C109" s="11" t="inlineStr">
        <is>
          <t>Média</t>
        </is>
      </c>
      <c r="D109" s="11" t="inlineStr">
        <is>
          <t>Aberta</t>
        </is>
      </c>
      <c r="E109" s="11" t="inlineStr"/>
    </row>
    <row r="110">
      <c r="A110" s="10" t="inlineStr">
        <is>
          <t>P18</t>
        </is>
      </c>
      <c r="B110" s="10" t="inlineStr">
        <is>
          <t>Existe a Ottoman Texture 240g? Página e fotos</t>
        </is>
      </c>
      <c r="C110" s="11" t="inlineStr">
        <is>
          <t>Média</t>
        </is>
      </c>
      <c r="D110" s="11" t="inlineStr">
        <is>
          <t>Aberta</t>
        </is>
      </c>
      <c r="E110" s="11" t="inlineStr"/>
    </row>
    <row r="111">
      <c r="A111" s="10" t="inlineStr">
        <is>
          <t>P19</t>
        </is>
      </c>
      <c r="B111" s="10" t="inlineStr">
        <is>
          <t>Cartela real: Cinza existe no texto? Off White, Bege, Marrom e Marinho têm estoque?</t>
        </is>
      </c>
      <c r="C111" s="11" t="inlineStr">
        <is>
          <t>Média</t>
        </is>
      </c>
      <c r="D111" s="11" t="inlineStr">
        <is>
          <t>Aberta</t>
        </is>
      </c>
      <c r="E111" s="11" t="inlineStr"/>
    </row>
    <row r="112">
      <c r="A112" s="10" t="inlineStr">
        <is>
          <t>P19</t>
        </is>
      </c>
      <c r="B112" s="10" t="inlineStr">
        <is>
          <t>Origem do algodão e tipo do fio de poliéster (filamento?) que gera o brilho</t>
        </is>
      </c>
      <c r="C112" s="11" t="inlineStr">
        <is>
          <t>Alta</t>
        </is>
      </c>
      <c r="D112" s="11" t="inlineStr">
        <is>
          <t>Aberta</t>
        </is>
      </c>
      <c r="E112" s="11" t="inlineStr"/>
    </row>
    <row r="113">
      <c r="A113" s="10" t="inlineStr">
        <is>
          <t>P19</t>
        </is>
      </c>
      <c r="B113" s="10" t="inlineStr">
        <is>
          <t>Teste de lavagem do brilho (5–10 ciclos) na amostra</t>
        </is>
      </c>
      <c r="C113" s="11" t="inlineStr">
        <is>
          <t>Média</t>
        </is>
      </c>
      <c r="D113" s="11" t="inlineStr">
        <is>
          <t>Aberta</t>
        </is>
      </c>
      <c r="E113" s="11" t="inlineStr"/>
    </row>
    <row r="114">
      <c r="A114" s="10" t="inlineStr">
        <is>
          <t>P19</t>
        </is>
      </c>
      <c r="B114" s="10" t="inlineStr">
        <is>
          <t>Teste de DTF/silk: marca de prensa e migração de corante</t>
        </is>
      </c>
      <c r="C114" s="11" t="inlineStr">
        <is>
          <t>Média</t>
        </is>
      </c>
      <c r="D114" s="11" t="inlineStr">
        <is>
          <t>Aberta</t>
        </is>
      </c>
      <c r="E114" s="11" t="inlineStr"/>
    </row>
    <row r="115">
      <c r="A115" s="10" t="inlineStr">
        <is>
          <t>P19</t>
        </is>
      </c>
      <c r="B115" s="10" t="inlineStr">
        <is>
          <t>Orçamento: bordado, etiqueta, tag, caixa</t>
        </is>
      </c>
      <c r="C115" s="11" t="inlineStr">
        <is>
          <t>Média</t>
        </is>
      </c>
      <c r="D115" s="11" t="inlineStr">
        <is>
          <t>Aberta</t>
        </is>
      </c>
      <c r="E115" s="11" t="inlineStr"/>
    </row>
    <row r="116">
      <c r="A116" s="10" t="inlineStr">
        <is>
          <t>P20</t>
        </is>
      </c>
      <c r="B116" s="10" t="inlineStr">
        <is>
          <t>Cartela real e referência (RPL-xxx) de Azul, Verde e Cinza</t>
        </is>
      </c>
      <c r="C116" s="11" t="inlineStr">
        <is>
          <t>Média</t>
        </is>
      </c>
      <c r="D116" s="11" t="inlineStr">
        <is>
          <t>Aberta</t>
        </is>
      </c>
      <c r="E116" s="11" t="inlineStr"/>
    </row>
    <row r="117">
      <c r="A117" s="10" t="inlineStr">
        <is>
          <t>P20</t>
        </is>
      </c>
      <c r="B117" s="10" t="inlineStr">
        <is>
          <t>O "preto" das fotos #1–#3 é Preto ou Marinho?</t>
        </is>
      </c>
      <c r="C117" s="11" t="inlineStr">
        <is>
          <t>Média</t>
        </is>
      </c>
      <c r="D117" s="11" t="inlineStr">
        <is>
          <t>Aberta</t>
        </is>
      </c>
      <c r="E117" s="11" t="inlineStr"/>
    </row>
    <row r="118">
      <c r="A118" s="10" t="inlineStr">
        <is>
          <t>P20</t>
        </is>
      </c>
      <c r="B118" s="10" t="inlineStr">
        <is>
          <t>Origem do "algodão premium importado"</t>
        </is>
      </c>
      <c r="C118" s="11" t="inlineStr">
        <is>
          <t>Alta</t>
        </is>
      </c>
      <c r="D118" s="11" t="inlineStr">
        <is>
          <t>Aberta</t>
        </is>
      </c>
      <c r="E118" s="11" t="inlineStr"/>
    </row>
    <row r="119">
      <c r="A119" s="10" t="inlineStr">
        <is>
          <t>P20</t>
        </is>
      </c>
      <c r="B119" s="10" t="inlineStr">
        <is>
          <t>Amostra: escala real da ondulação (1–2 mm) e opacidade no off-white</t>
        </is>
      </c>
      <c r="C119" s="11" t="inlineStr">
        <is>
          <t>Média</t>
        </is>
      </c>
      <c r="D119" s="11" t="inlineStr">
        <is>
          <t>Aberta</t>
        </is>
      </c>
      <c r="E119" s="11" t="inlineStr"/>
    </row>
    <row r="120">
      <c r="A120" s="10" t="inlineStr">
        <is>
          <t>P20</t>
        </is>
      </c>
      <c r="B120" s="10" t="inlineStr">
        <is>
          <t>Orçamento: bordado peito (até 8 cm), etiqueta, tag</t>
        </is>
      </c>
      <c r="C120" s="11" t="inlineStr">
        <is>
          <t>Média</t>
        </is>
      </c>
      <c r="D120" s="11" t="inlineStr">
        <is>
          <t>Aberta</t>
        </is>
      </c>
      <c r="E120" s="11" t="inlineStr"/>
    </row>
    <row r="121">
      <c r="A121" s="10" t="inlineStr">
        <is>
          <t>P21</t>
        </is>
      </c>
      <c r="B121" s="10" t="inlineStr">
        <is>
          <t>Cor "Marrom" do seletor = bege das fotos? Cartela e referências reais</t>
        </is>
      </c>
      <c r="C121" s="11" t="inlineStr">
        <is>
          <t>Média</t>
        </is>
      </c>
      <c r="D121" s="11" t="inlineStr">
        <is>
          <t>Aberta</t>
        </is>
      </c>
      <c r="E121" s="11" t="inlineStr"/>
    </row>
    <row r="122">
      <c r="A122" s="10" t="inlineStr">
        <is>
          <t>P21</t>
        </is>
      </c>
      <c r="B122" s="10" t="inlineStr">
        <is>
          <t>Origem do "algodão premium importado"</t>
        </is>
      </c>
      <c r="C122" s="11" t="inlineStr">
        <is>
          <t>Alta</t>
        </is>
      </c>
      <c r="D122" s="11" t="inlineStr">
        <is>
          <t>Aberta</t>
        </is>
      </c>
      <c r="E122" s="11" t="inlineStr"/>
    </row>
    <row r="123">
      <c r="A123" s="10" t="inlineStr">
        <is>
          <t>P21</t>
        </is>
      </c>
      <c r="B123" s="10" t="inlineStr">
        <is>
          <t>Amostra: estrutura real (células em faixa × grade waffle)</t>
        </is>
      </c>
      <c r="C123" s="11" t="inlineStr">
        <is>
          <t>Média</t>
        </is>
      </c>
      <c r="D123" s="11" t="inlineStr">
        <is>
          <t>Aberta</t>
        </is>
      </c>
      <c r="E123" s="11" t="inlineStr"/>
    </row>
    <row r="124">
      <c r="A124" s="10" t="inlineStr">
        <is>
          <t>P21</t>
        </is>
      </c>
      <c r="B124" s="10" t="inlineStr">
        <is>
          <t>Teste de DTF/silk sobre as células</t>
        </is>
      </c>
      <c r="C124" s="11" t="inlineStr">
        <is>
          <t>Média</t>
        </is>
      </c>
      <c r="D124" s="11" t="inlineStr">
        <is>
          <t>Aberta</t>
        </is>
      </c>
      <c r="E124" s="11" t="inlineStr"/>
    </row>
    <row r="125">
      <c r="A125" s="10" t="inlineStr">
        <is>
          <t>P21</t>
        </is>
      </c>
      <c r="B125" s="10" t="inlineStr">
        <is>
          <t>Orçamento: bordado peito, etiqueta, tag, caixa de presente</t>
        </is>
      </c>
      <c r="C125" s="11" t="inlineStr">
        <is>
          <t>Média</t>
        </is>
      </c>
      <c r="D125" s="11" t="inlineStr">
        <is>
          <t>Aberta</t>
        </is>
      </c>
      <c r="E125" s="11" t="inlineStr"/>
    </row>
    <row r="126">
      <c r="A126" s="10" t="inlineStr">
        <is>
          <t>P22</t>
        </is>
      </c>
      <c r="B126" s="10" t="inlineStr">
        <is>
          <t>Preço base oficial (tabela "sob consulta")</t>
        </is>
      </c>
      <c r="C126" s="11" t="inlineStr">
        <is>
          <t>Média</t>
        </is>
      </c>
      <c r="D126" s="11" t="inlineStr">
        <is>
          <t>Aberta</t>
        </is>
      </c>
      <c r="E126" s="11" t="inlineStr"/>
    </row>
    <row r="127">
      <c r="A127" s="10" t="inlineStr">
        <is>
          <t>P22</t>
        </is>
      </c>
      <c r="B127" s="10" t="inlineStr">
        <is>
          <t>Processo de tingimento (reativo + disperso?) e solidez de cor</t>
        </is>
      </c>
      <c r="C127" s="11" t="inlineStr">
        <is>
          <t>Média</t>
        </is>
      </c>
      <c r="D127" s="11" t="inlineStr">
        <is>
          <t>Aberta</t>
        </is>
      </c>
      <c r="E127" s="11" t="inlineStr"/>
    </row>
    <row r="128">
      <c r="A128" s="10" t="inlineStr">
        <is>
          <t>P22</t>
        </is>
      </c>
      <c r="B128" s="10" t="inlineStr">
        <is>
          <t>Cor real do "Azul Celeste"; existe preto, marinho ou off-white em pronta entrega?</t>
        </is>
      </c>
      <c r="C128" s="11" t="inlineStr">
        <is>
          <t>Média</t>
        </is>
      </c>
      <c r="D128" s="11" t="inlineStr">
        <is>
          <t>Aberta</t>
        </is>
      </c>
      <c r="E128" s="11" t="inlineStr"/>
    </row>
    <row r="129">
      <c r="A129" s="10" t="inlineStr">
        <is>
          <t>P22</t>
        </is>
      </c>
      <c r="B129" s="10" t="inlineStr">
        <is>
          <t>Prazo real: 24 h ou 3 dias úteis</t>
        </is>
      </c>
      <c r="C129" s="11" t="inlineStr">
        <is>
          <t>Média</t>
        </is>
      </c>
      <c r="D129" s="11" t="inlineStr">
        <is>
          <t>Aberta</t>
        </is>
      </c>
      <c r="E129" s="11" t="inlineStr"/>
    </row>
    <row r="130">
      <c r="A130" s="10" t="inlineStr">
        <is>
          <t>P22</t>
        </is>
      </c>
      <c r="B130" s="10" t="inlineStr">
        <is>
          <t>Orçamento: bordado peito até 15.000 pontos, etiqueta, tag</t>
        </is>
      </c>
      <c r="C130" s="11" t="inlineStr">
        <is>
          <t>Média</t>
        </is>
      </c>
      <c r="D130" s="11" t="inlineStr">
        <is>
          <t>Aberta</t>
        </is>
      </c>
      <c r="E130" s="11" t="inlineStr"/>
    </row>
    <row r="131">
      <c r="A131" s="10" t="inlineStr">
        <is>
          <t>P22</t>
        </is>
      </c>
      <c r="B131" s="10" t="inlineStr">
        <is>
          <t>Previsão da versão oversized</t>
        </is>
      </c>
      <c r="C131" s="11" t="inlineStr">
        <is>
          <t>Média</t>
        </is>
      </c>
      <c r="D131" s="11" t="inlineStr">
        <is>
          <t>Aberta</t>
        </is>
      </c>
      <c r="E131" s="11" t="inlineStr"/>
    </row>
    <row r="132">
      <c r="A132" s="10" t="inlineStr">
        <is>
          <t>P23</t>
        </is>
      </c>
      <c r="B132" s="10" t="inlineStr">
        <is>
          <t>Gramatura (g/m²) e título do fio</t>
        </is>
      </c>
      <c r="C132" s="11" t="inlineStr">
        <is>
          <t>Alta</t>
        </is>
      </c>
      <c r="D132" s="11" t="inlineStr">
        <is>
          <t>Aberta</t>
        </is>
      </c>
      <c r="E132" s="11" t="inlineStr"/>
    </row>
    <row r="133">
      <c r="A133" s="10" t="inlineStr">
        <is>
          <t>P23</t>
        </is>
      </c>
      <c r="B133" s="10" t="inlineStr">
        <is>
          <t>Reposição / estoque real por cor (página esgotada)</t>
        </is>
      </c>
      <c r="C133" s="11" t="inlineStr">
        <is>
          <t>Média</t>
        </is>
      </c>
      <c r="D133" s="11" t="inlineStr">
        <is>
          <t>Aberta</t>
        </is>
      </c>
      <c r="E133" s="11" t="inlineStr"/>
    </row>
    <row r="134">
      <c r="A134" s="10" t="inlineStr">
        <is>
          <t>P23</t>
        </is>
      </c>
      <c r="B134" s="10" t="inlineStr">
        <is>
          <t>Códigos de referência por cor</t>
        </is>
      </c>
      <c r="C134" s="11" t="inlineStr">
        <is>
          <t>Média</t>
        </is>
      </c>
      <c r="D134" s="11" t="inlineStr">
        <is>
          <t>Aberta</t>
        </is>
      </c>
      <c r="E134" s="11" t="inlineStr"/>
    </row>
    <row r="135">
      <c r="A135" s="10" t="inlineStr">
        <is>
          <t>P23</t>
        </is>
      </c>
      <c r="B135" s="10" t="inlineStr">
        <is>
          <t>Por que a lisa custa mais que a estonada (P24)?</t>
        </is>
      </c>
      <c r="C135" s="11" t="inlineStr">
        <is>
          <t>Média</t>
        </is>
      </c>
      <c r="D135" s="11" t="inlineStr">
        <is>
          <t>Aberta</t>
        </is>
      </c>
      <c r="E135" s="11" t="inlineStr"/>
    </row>
    <row r="136">
      <c r="A136" s="10" t="inlineStr">
        <is>
          <t>P23</t>
        </is>
      </c>
      <c r="B136" s="10" t="inlineStr">
        <is>
          <t>Largura da alça e cava em cm; tabela de ombro</t>
        </is>
      </c>
      <c r="C136" s="11" t="inlineStr">
        <is>
          <t>Média</t>
        </is>
      </c>
      <c r="D136" s="11" t="inlineStr">
        <is>
          <t>Aberta</t>
        </is>
      </c>
      <c r="E136" s="11" t="inlineStr"/>
    </row>
    <row r="137">
      <c r="A137" s="10" t="inlineStr">
        <is>
          <t>P23</t>
        </is>
      </c>
      <c r="B137" s="10" t="inlineStr">
        <is>
          <t>Orçamento: bordado peito pequeno + etiqueta; peça-teste de silk/DTF sobre canelado</t>
        </is>
      </c>
      <c r="C137" s="11" t="inlineStr">
        <is>
          <t>Média</t>
        </is>
      </c>
      <c r="D137" s="11" t="inlineStr">
        <is>
          <t>Aberta</t>
        </is>
      </c>
      <c r="E137" s="11" t="inlineStr"/>
    </row>
    <row r="138">
      <c r="A138" s="10" t="inlineStr">
        <is>
          <t>P24</t>
        </is>
      </c>
      <c r="B138" s="10" t="inlineStr">
        <is>
          <t>Gramatura e fio (é a mesma malha da P23?)</t>
        </is>
      </c>
      <c r="C138" s="11" t="inlineStr">
        <is>
          <t>Alta</t>
        </is>
      </c>
      <c r="D138" s="11" t="inlineStr">
        <is>
          <t>Aberta</t>
        </is>
      </c>
      <c r="E138" s="11" t="inlineStr"/>
    </row>
    <row r="139">
      <c r="A139" s="10" t="inlineStr">
        <is>
          <t>P24</t>
        </is>
      </c>
      <c r="B139" s="10" t="inlineStr">
        <is>
          <t>Reposição e prazo de lavanderia</t>
        </is>
      </c>
      <c r="C139" s="11" t="inlineStr">
        <is>
          <t>Média</t>
        </is>
      </c>
      <c r="D139" s="11" t="inlineStr">
        <is>
          <t>Aberta</t>
        </is>
      </c>
      <c r="E139" s="11" t="inlineStr"/>
    </row>
    <row r="140">
      <c r="A140" s="10" t="inlineStr">
        <is>
          <t>P24</t>
        </is>
      </c>
      <c r="B140" s="10" t="inlineStr">
        <is>
          <t>Faixa de variação de tom aceitável por lote (pedir amostra de 2–3 peças da mesma cor)</t>
        </is>
      </c>
      <c r="C140" s="11" t="inlineStr">
        <is>
          <t>Média</t>
        </is>
      </c>
      <c r="D140" s="11" t="inlineStr">
        <is>
          <t>Aberta</t>
        </is>
      </c>
      <c r="E140" s="11" t="inlineStr"/>
    </row>
    <row r="141">
      <c r="A141" s="10" t="inlineStr">
        <is>
          <t>P24</t>
        </is>
      </c>
      <c r="B141" s="10" t="inlineStr">
        <is>
          <t>Explicar 'toque peletizado'</t>
        </is>
      </c>
      <c r="C141" s="11" t="inlineStr">
        <is>
          <t>Média</t>
        </is>
      </c>
      <c r="D141" s="11" t="inlineStr">
        <is>
          <t>Aberta</t>
        </is>
      </c>
      <c r="E141" s="11" t="inlineStr"/>
    </row>
    <row r="142">
      <c r="A142" s="10" t="inlineStr">
        <is>
          <t>P24</t>
        </is>
      </c>
      <c r="B142" s="10" t="inlineStr">
        <is>
          <t>Por que custa menos que a lisa?</t>
        </is>
      </c>
      <c r="C142" s="11" t="inlineStr">
        <is>
          <t>Média</t>
        </is>
      </c>
      <c r="D142" s="11" t="inlineStr">
        <is>
          <t>Aberta</t>
        </is>
      </c>
      <c r="E142" s="11" t="inlineStr"/>
    </row>
    <row r="143">
      <c r="A143" s="10" t="inlineStr">
        <is>
          <t>P24</t>
        </is>
      </c>
      <c r="B143" s="10" t="inlineStr">
        <is>
          <t>Orçamento de bordado pós-lavagem + etiqueta</t>
        </is>
      </c>
      <c r="C143" s="11" t="inlineStr">
        <is>
          <t>Média</t>
        </is>
      </c>
      <c r="D143" s="11" t="inlineStr">
        <is>
          <t>Aberta</t>
        </is>
      </c>
      <c r="E143" s="11" t="inlineStr"/>
    </row>
    <row r="144">
      <c r="A144" s="10" t="inlineStr">
        <is>
          <t>P25</t>
        </is>
      </c>
      <c r="B144" s="10" t="inlineStr">
        <is>
          <t>Medidas de gancho dianteiro/traseiro, entreperna, coxa e joelho</t>
        </is>
      </c>
      <c r="C144" s="11" t="inlineStr">
        <is>
          <t>Média</t>
        </is>
      </c>
      <c r="D144" s="11" t="inlineStr">
        <is>
          <t>Aberta</t>
        </is>
      </c>
      <c r="E144" s="11" t="inlineStr"/>
    </row>
    <row r="145">
      <c r="A145" s="10" t="inlineStr">
        <is>
          <t>P25</t>
        </is>
      </c>
      <c r="B145" s="10" t="inlineStr">
        <is>
          <t>Existe EG? (moletom tem)</t>
        </is>
      </c>
      <c r="C145" s="11" t="inlineStr">
        <is>
          <t>Média</t>
        </is>
      </c>
      <c r="D145" s="11" t="inlineStr">
        <is>
          <t>Aberta</t>
        </is>
      </c>
      <c r="E145" s="11" t="inlineStr"/>
    </row>
    <row r="146">
      <c r="A146" s="10" t="inlineStr">
        <is>
          <t>P25</t>
        </is>
      </c>
      <c r="B146" s="10" t="inlineStr">
        <is>
          <t>Foto/amostra da cor Chumbo; confirmar se 'Bege' é o caramelo das fotos</t>
        </is>
      </c>
      <c r="C146" s="11" t="inlineStr">
        <is>
          <t>Média</t>
        </is>
      </c>
      <c r="D146" s="11" t="inlineStr">
        <is>
          <t>Aberta</t>
        </is>
      </c>
      <c r="E146" s="11" t="inlineStr"/>
    </row>
    <row r="147">
      <c r="A147" s="10" t="inlineStr">
        <is>
          <t>P25</t>
        </is>
      </c>
      <c r="B147" s="10" t="inlineStr">
        <is>
          <t>Cores comuns com o P26 além de Preto e Marinho?</t>
        </is>
      </c>
      <c r="C147" s="11" t="inlineStr">
        <is>
          <t>Média</t>
        </is>
      </c>
      <c r="D147" s="11" t="inlineStr">
        <is>
          <t>Aberta</t>
        </is>
      </c>
      <c r="E147" s="11" t="inlineStr"/>
    </row>
    <row r="148">
      <c r="A148" s="10" t="inlineStr">
        <is>
          <t>P25</t>
        </is>
      </c>
      <c r="B148" s="10" t="inlineStr">
        <is>
          <t>Largura do cós e se o elástico é embutido</t>
        </is>
      </c>
      <c r="C148" s="11" t="inlineStr">
        <is>
          <t>Média</t>
        </is>
      </c>
      <c r="D148" s="11" t="inlineStr">
        <is>
          <t>Aberta</t>
        </is>
      </c>
      <c r="E148" s="11" t="inlineStr"/>
    </row>
    <row r="149">
      <c r="A149" s="10" t="inlineStr">
        <is>
          <t>P25</t>
        </is>
      </c>
      <c r="B149" s="10" t="inlineStr">
        <is>
          <t>Tem bolso traseiro?</t>
        </is>
      </c>
      <c r="C149" s="11" t="inlineStr">
        <is>
          <t>Média</t>
        </is>
      </c>
      <c r="D149" s="11" t="inlineStr">
        <is>
          <t>Aberta</t>
        </is>
      </c>
      <c r="E149" s="11" t="inlineStr"/>
    </row>
    <row r="150">
      <c r="A150" s="10" t="inlineStr">
        <is>
          <t>P25</t>
        </is>
      </c>
      <c r="B150" s="10" t="inlineStr">
        <is>
          <t>Estoque real (página esgotada)</t>
        </is>
      </c>
      <c r="C150" s="11" t="inlineStr">
        <is>
          <t>Média</t>
        </is>
      </c>
      <c r="D150" s="11" t="inlineStr">
        <is>
          <t>Aberta</t>
        </is>
      </c>
      <c r="E150" s="11" t="inlineStr"/>
    </row>
    <row r="151">
      <c r="A151" s="10" t="inlineStr">
        <is>
          <t>P25</t>
        </is>
      </c>
      <c r="B151" s="10" t="inlineStr">
        <is>
          <t>Orçamento: bordado cintura + etiqueta + embalagem de conjunto</t>
        </is>
      </c>
      <c r="C151" s="11" t="inlineStr">
        <is>
          <t>Média</t>
        </is>
      </c>
      <c r="D151" s="11" t="inlineStr">
        <is>
          <t>Aberta</t>
        </is>
      </c>
      <c r="E151" s="11" t="inlineStr"/>
    </row>
    <row r="152">
      <c r="A152" s="10" t="inlineStr">
        <is>
          <t>P26</t>
        </is>
      </c>
      <c r="B152" s="10" t="inlineStr">
        <is>
          <t>Preço real: R$ 59,00 (texto) ou R$ 68,00 (página)?</t>
        </is>
      </c>
      <c r="C152" s="11" t="inlineStr">
        <is>
          <t>Média</t>
        </is>
      </c>
      <c r="D152" s="11" t="inlineStr">
        <is>
          <t>Aberta</t>
        </is>
      </c>
      <c r="E152" s="11" t="inlineStr"/>
    </row>
    <row r="153">
      <c r="A153" s="10" t="inlineStr">
        <is>
          <t>P26</t>
        </is>
      </c>
      <c r="B153" s="10" t="inlineStr">
        <is>
          <t>Cartela física: Terracota, Azul Claro e Branco reais; foto do Vermelho</t>
        </is>
      </c>
      <c r="C153" s="11" t="inlineStr">
        <is>
          <t>Média</t>
        </is>
      </c>
      <c r="D153" s="11" t="inlineStr">
        <is>
          <t>Aberta</t>
        </is>
      </c>
      <c r="E153" s="11" t="inlineStr"/>
    </row>
    <row r="154">
      <c r="A154" s="10" t="inlineStr">
        <is>
          <t>P26</t>
        </is>
      </c>
      <c r="B154" s="10" t="inlineStr">
        <is>
          <t>Foto do avesso (felpado com argola ou escovado?)</t>
        </is>
      </c>
      <c r="C154" s="11" t="inlineStr">
        <is>
          <t>Média</t>
        </is>
      </c>
      <c r="D154" s="11" t="inlineStr">
        <is>
          <t>Aberta</t>
        </is>
      </c>
      <c r="E154" s="11" t="inlineStr"/>
    </row>
    <row r="155">
      <c r="A155" s="10" t="inlineStr">
        <is>
          <t>P26</t>
        </is>
      </c>
      <c r="B155" s="10" t="inlineStr">
        <is>
          <t>Altura e largura de punho e barra</t>
        </is>
      </c>
      <c r="C155" s="11" t="inlineStr">
        <is>
          <t>Média</t>
        </is>
      </c>
      <c r="D155" s="11" t="inlineStr">
        <is>
          <t>Aberta</t>
        </is>
      </c>
      <c r="E155" s="11" t="inlineStr"/>
    </row>
    <row r="156">
      <c r="A156" s="10" t="inlineStr">
        <is>
          <t>P26</t>
        </is>
      </c>
      <c r="B156" s="10" t="inlineStr">
        <is>
          <t>Orçamento: bordado peito com entretela + etiqueta + tag</t>
        </is>
      </c>
      <c r="C156" s="11" t="inlineStr">
        <is>
          <t>Média</t>
        </is>
      </c>
      <c r="D156" s="11" t="inlineStr">
        <is>
          <t>Aberta</t>
        </is>
      </c>
      <c r="E156" s="11" t="inlineStr"/>
    </row>
    <row r="157">
      <c r="A157" s="10" t="inlineStr">
        <is>
          <t>P26</t>
        </is>
      </c>
      <c r="B157" s="10" t="inlineStr">
        <is>
          <t>Existe versão 3 cabos com capuz?</t>
        </is>
      </c>
      <c r="C157" s="11" t="inlineStr">
        <is>
          <t>Média</t>
        </is>
      </c>
      <c r="D157" s="11" t="inlineStr">
        <is>
          <t>Aberta</t>
        </is>
      </c>
      <c r="E157" s="11" t="inlineStr"/>
    </row>
    <row r="158">
      <c r="A158" s="10" t="inlineStr">
        <is>
          <t>P27</t>
        </is>
      </c>
      <c r="B158" s="10" t="inlineStr">
        <is>
          <t>Composição exata em % (100% algodão? mistura?) e laudo</t>
        </is>
      </c>
      <c r="C158" s="11" t="inlineStr">
        <is>
          <t>Alta</t>
        </is>
      </c>
      <c r="D158" s="11" t="inlineStr">
        <is>
          <t>Aberta</t>
        </is>
      </c>
      <c r="E158" s="11" t="inlineStr"/>
    </row>
    <row r="159">
      <c r="A159" s="10" t="inlineStr">
        <is>
          <t>P27</t>
        </is>
      </c>
      <c r="B159" s="10" t="inlineStr">
        <is>
          <t>Origem/rastreabilidade do fio (região, fiação) — decisivo para usar ou não</t>
        </is>
      </c>
      <c r="C159" s="11" t="inlineStr">
        <is>
          <t>Alta</t>
        </is>
      </c>
      <c r="D159" s="11" t="inlineStr">
        <is>
          <t>Aberta</t>
        </is>
      </c>
      <c r="E159" s="11" t="inlineStr"/>
    </row>
    <row r="160">
      <c r="A160" s="10" t="inlineStr">
        <is>
          <t>P27</t>
        </is>
      </c>
      <c r="B160" s="10" t="inlineStr">
        <is>
          <t>Punho e barra: ribana ou barra virada? (fotos mostram barra virada)</t>
        </is>
      </c>
      <c r="C160" s="11" t="inlineStr">
        <is>
          <t>Média</t>
        </is>
      </c>
      <c r="D160" s="11" t="inlineStr">
        <is>
          <t>Aberta</t>
        </is>
      </c>
      <c r="E160" s="11" t="inlineStr"/>
    </row>
    <row r="161">
      <c r="A161" s="10" t="inlineStr">
        <is>
          <t>P27</t>
        </is>
      </c>
      <c r="B161" s="10" t="inlineStr">
        <is>
          <t>Cor verde real (fotos #9/#11 parecem editadas)</t>
        </is>
      </c>
      <c r="C161" s="11" t="inlineStr">
        <is>
          <t>Média</t>
        </is>
      </c>
      <c r="D161" s="11" t="inlineStr">
        <is>
          <t>Aberta</t>
        </is>
      </c>
      <c r="E161" s="11" t="inlineStr"/>
    </row>
    <row r="162">
      <c r="A162" s="10" t="inlineStr">
        <is>
          <t>P27</t>
        </is>
      </c>
      <c r="B162" s="10" t="inlineStr">
        <is>
          <t>Estoque real</t>
        </is>
      </c>
      <c r="C162" s="11" t="inlineStr">
        <is>
          <t>Média</t>
        </is>
      </c>
      <c r="D162" s="11" t="inlineStr">
        <is>
          <t>Aberta</t>
        </is>
      </c>
      <c r="E162" s="11" t="inlineStr"/>
    </row>
    <row r="163">
      <c r="A163" s="10" t="inlineStr">
        <is>
          <t>P27</t>
        </is>
      </c>
      <c r="B163" s="10" t="inlineStr">
        <is>
          <t>Orçamento de bordado peito + etiqueta</t>
        </is>
      </c>
      <c r="C163" s="11" t="inlineStr">
        <is>
          <t>Média</t>
        </is>
      </c>
      <c r="D163" s="11" t="inlineStr">
        <is>
          <t>Aberta</t>
        </is>
      </c>
      <c r="E163" s="11" t="inlineStr"/>
    </row>
    <row r="164">
      <c r="A164" s="10" t="inlineStr">
        <is>
          <t>P28</t>
        </is>
      </c>
      <c r="B164" s="10" t="inlineStr">
        <is>
          <t>Gramatura real: 260 g (texto) ou 240 g (arquivos das fotos)?</t>
        </is>
      </c>
      <c r="C164" s="11" t="inlineStr">
        <is>
          <t>Alta</t>
        </is>
      </c>
      <c r="D164" s="11" t="inlineStr">
        <is>
          <t>Aberta</t>
        </is>
      </c>
      <c r="E164" s="11" t="inlineStr"/>
    </row>
    <row r="165">
      <c r="A165" s="10" t="inlineStr">
        <is>
          <t>P28</t>
        </is>
      </c>
      <c r="B165" s="10" t="inlineStr">
        <is>
          <t>As fotos são desta peça (peluciada) ou do 'básico 240gsm'?</t>
        </is>
      </c>
      <c r="C165" s="11" t="inlineStr">
        <is>
          <t>Média</t>
        </is>
      </c>
      <c r="D165" s="11" t="inlineStr">
        <is>
          <t>Aberta</t>
        </is>
      </c>
      <c r="E165" s="11" t="inlineStr"/>
    </row>
    <row r="166">
      <c r="A166" s="10" t="inlineStr">
        <is>
          <t>P28</t>
        </is>
      </c>
      <c r="B166" s="10" t="inlineStr">
        <is>
          <t>Foto/amostra do Marrom</t>
        </is>
      </c>
      <c r="C166" s="11" t="inlineStr">
        <is>
          <t>Média</t>
        </is>
      </c>
      <c r="D166" s="11" t="inlineStr">
        <is>
          <t>Aberta</t>
        </is>
      </c>
      <c r="E166" s="11" t="inlineStr"/>
    </row>
    <row r="167">
      <c r="A167" s="10" t="inlineStr">
        <is>
          <t>P28</t>
        </is>
      </c>
      <c r="B167" s="10" t="inlineStr">
        <is>
          <t>Medidas do capuz e do bolso</t>
        </is>
      </c>
      <c r="C167" s="11" t="inlineStr">
        <is>
          <t>Média</t>
        </is>
      </c>
      <c r="D167" s="11" t="inlineStr">
        <is>
          <t>Aberta</t>
        </is>
      </c>
      <c r="E167" s="11" t="inlineStr"/>
    </row>
    <row r="168">
      <c r="A168" s="10" t="inlineStr">
        <is>
          <t>P28</t>
        </is>
      </c>
      <c r="B168" s="10" t="inlineStr">
        <is>
          <t>Estoque real</t>
        </is>
      </c>
      <c r="C168" s="11" t="inlineStr">
        <is>
          <t>Média</t>
        </is>
      </c>
      <c r="D168" s="11" t="inlineStr">
        <is>
          <t>Aberta</t>
        </is>
      </c>
      <c r="E168" s="11" t="inlineStr"/>
    </row>
    <row r="169">
      <c r="A169" s="10" t="inlineStr">
        <is>
          <t>P28</t>
        </is>
      </c>
      <c r="B169" s="10" t="inlineStr">
        <is>
          <t>Orçamento: bordado peito + etiqueta + cordão personalizado</t>
        </is>
      </c>
      <c r="C169" s="11" t="inlineStr">
        <is>
          <t>Média</t>
        </is>
      </c>
      <c r="D169" s="11" t="inlineStr">
        <is>
          <t>Aberta</t>
        </is>
      </c>
      <c r="E169" s="11" t="inlineStr"/>
    </row>
    <row r="170">
      <c r="A170" s="10" t="inlineStr">
        <is>
          <t>P29</t>
        </is>
      </c>
      <c r="B170" s="10" t="inlineStr">
        <is>
          <t>Composição exata em % e laudo</t>
        </is>
      </c>
      <c r="C170" s="11" t="inlineStr">
        <is>
          <t>Alta</t>
        </is>
      </c>
      <c r="D170" s="11" t="inlineStr">
        <is>
          <t>Aberta</t>
        </is>
      </c>
      <c r="E170" s="11" t="inlineStr"/>
    </row>
    <row r="171">
      <c r="A171" s="10" t="inlineStr">
        <is>
          <t>P29</t>
        </is>
      </c>
      <c r="B171" s="10" t="inlineStr">
        <is>
          <t>Origem/rastreabilidade do fio</t>
        </is>
      </c>
      <c r="C171" s="11" t="inlineStr">
        <is>
          <t>Alta</t>
        </is>
      </c>
      <c r="D171" s="11" t="inlineStr">
        <is>
          <t>Aberta</t>
        </is>
      </c>
      <c r="E171" s="11" t="inlineStr"/>
    </row>
    <row r="172">
      <c r="A172" s="10" t="inlineStr">
        <is>
          <t>P29</t>
        </is>
      </c>
      <c r="B172" s="10" t="inlineStr">
        <is>
          <t>Punho e barra: ribana ou bainha virada?</t>
        </is>
      </c>
      <c r="C172" s="11" t="inlineStr">
        <is>
          <t>Média</t>
        </is>
      </c>
      <c r="D172" s="11" t="inlineStr">
        <is>
          <t>Aberta</t>
        </is>
      </c>
      <c r="E172" s="11" t="inlineStr"/>
    </row>
    <row r="173">
      <c r="A173" s="10" t="inlineStr">
        <is>
          <t>P29</t>
        </is>
      </c>
      <c r="B173" s="10" t="inlineStr">
        <is>
          <t>Estoque real</t>
        </is>
      </c>
      <c r="C173" s="11" t="inlineStr">
        <is>
          <t>Média</t>
        </is>
      </c>
      <c r="D173" s="11" t="inlineStr">
        <is>
          <t>Aberta</t>
        </is>
      </c>
      <c r="E173" s="11" t="inlineStr"/>
    </row>
    <row r="174">
      <c r="A174" s="10" t="inlineStr">
        <is>
          <t>P29</t>
        </is>
      </c>
      <c r="B174" s="10" t="inlineStr">
        <is>
          <t>Orçamento de bordado peito + etiqueta</t>
        </is>
      </c>
      <c r="C174" s="11" t="inlineStr">
        <is>
          <t>Média</t>
        </is>
      </c>
      <c r="D174" s="11" t="inlineStr">
        <is>
          <t>Aberta</t>
        </is>
      </c>
      <c r="E174" s="1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24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26" customWidth="1" min="3" max="3"/>
    <col width="22" customWidth="1" min="4" max="4"/>
    <col width="120" customWidth="1" min="5" max="5"/>
    <col width="10" customWidth="1" min="6" max="6"/>
  </cols>
  <sheetData>
    <row r="1">
      <c r="A1" s="16" t="inlineStr">
        <is>
          <t>Prompts de lookbook — um por foto (colar em inglês no Magnific, modelo ∞, AI prompt desligado)</t>
        </is>
      </c>
    </row>
    <row r="3">
      <c r="A3" s="17" t="inlineStr">
        <is>
          <t>Produto</t>
        </is>
      </c>
      <c r="B3" s="17" t="inlineStr">
        <is>
          <t>Foto</t>
        </is>
      </c>
      <c r="C3" s="17" t="inlineStr">
        <is>
          <t>Origem no print</t>
        </is>
      </c>
      <c r="D3" s="17" t="inlineStr">
        <is>
          <t>Modelo · cor · formato</t>
        </is>
      </c>
      <c r="E3" s="17" t="inlineStr">
        <is>
          <t>Prompt (EN)</t>
        </is>
      </c>
      <c r="F3" s="17" t="inlineStr">
        <is>
          <t>Status</t>
        </is>
      </c>
    </row>
    <row r="4" ht="300" customHeight="1">
      <c r="A4" s="10" t="inlineStr">
        <is>
          <t>P01</t>
        </is>
      </c>
      <c r="B4" s="10" t="inlineStr">
        <is>
          <t>F1 — Hero 3/4 com mão no peito</t>
        </is>
      </c>
      <c r="C4" s="10" t="inlineStr">
        <is>
          <t>Foto principal (1ª do print e 1ª miniatura)</t>
        </is>
      </c>
      <c r="D4" s="10" t="inlineStr">
        <is>
          <t>Modelo A · Cor: `off-white` · Formato: 4:5</t>
        </is>
      </c>
      <c r="E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boxy t-shirt in heavyweight 300gsm suedine knit (52% cotton / 48% polyester) with a soft brushed peach-finish, matte velvety surface, off-white, dropped shoulders with the shoulder seam falling on the upper arm, wide short sleeves ending just above the elbow, crew neck with a medium-width ribbed collar, straight hem slightly below the hip, dense opaque fabric that holds a boxy volume, tucked out, paired with matching white knit shorts with a black drawstring hanging at the front. Fabric and construction: heavy 300gsm suedine with real weight and body — the boxy volume stands away from the torso and falls in a few soft, rounded vertical folds, never clinging or rippling. The dropped shoulder seam sits well down the upper arm and the wide sleeves hold an open tube shape. The brushed peach-finish surface absorbs light (fully matte, zero shine) with a faint soft nap visible at the edges and folds. Medium ribbed collar, flat and firm, keeping a clean round shape. Tonal double-needle topstitching at sleeve hems and bottom hem; the hem hangs straight and heavy with no flare. Movement: the weight makes the fabric respond slowly — where a hand touches or pulls, it forms broad soft tension folds rather than sharp creases. Oversized fit: the body falls below the hip, chest very loose and boxy, shoulder seam dropped onto the upper arm, sleeves ending just above the elbow. Three-quarter view, body turned slightly to the camera's right, head turned and eyes looking off-camera to the camera's left. His right hand rests flat on the upper chest with fingers slightly spread, a black braided leather bracelet on that wrist; left arm hangs relaxed. Framing from the top of the head to mid-thigh, subject centered, small headroom. CRITICAL: absolutely no text, no letters, no logos, no labels, no brand tags visible, no watermark, no graphic overlays, no icons. Plain garment exactly as described, correct anatomy, five fingers per hand.</t>
        </is>
      </c>
      <c r="F4" s="11" t="inlineStr">
        <is>
          <t>A gerar</t>
        </is>
      </c>
    </row>
    <row r="5" ht="300" customHeight="1">
      <c r="A5" s="10" t="inlineStr">
        <is>
          <t>P01</t>
        </is>
      </c>
      <c r="B5" s="10" t="inlineStr">
        <is>
          <t>F2 — Detalhe gola, ombro caído e manga</t>
        </is>
      </c>
      <c r="C5" s="10" t="inlineStr">
        <is>
          <t>2ª foto e 2ª miniatura</t>
        </is>
      </c>
      <c r="D5" s="10" t="inlineStr">
        <is>
          <t>Modelo A · Cor: `off-white` · Formato: 4:5</t>
        </is>
      </c>
      <c r="E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boxy t-shirt in heavyweight 300gsm suedine knit (52% cotton / 48% polyester) with a soft brushed peach-finish, matte velvety surface, off-white, dropped shoulders with the shoulder seam falling on the upper arm, wide short sleeves ending just above the elbow, crew neck with a medium-width ribbed collar, straight hem slightly below the hip, dense opaque fabric that holds a boxy volume, tucked out, paired with matching white knit shorts with a black drawstring hanging at the front. Fabric and construction: heavy 300gsm suedine with real weight and body — the boxy volume stands away from the torso and falls in a few soft, rounded vertical folds, never clinging or rippling. The dropped shoulder seam sits well down the upper arm and the wide sleeves hold an open tube shape. The brushed peach-finish surface absorbs light (fully matte, zero shine) with a faint soft nap visible at the edges and folds. Medium ribbed collar, flat and firm, keeping a clean round shape. Tonal double-needle topstitching at sleeve hems and bottom hem; the hem hangs straight and heavy with no flare. Movement: the weight makes the fabric respond slowly — where a hand touches or pulls, it forms broad soft tension folds rather than sharp creases. Oversized fit: the body falls below the hip, chest very loose and boxy, shoulder seam dropped onto the upper arm, sleeves ending just above the elbow. Tight detail crop: from the lips and beard down to the lower chest, focused on the collar ribbing, the dropped shoulder seam and the wide sleeve on the camera's left side. His left hand pinches and slightly pulls the sleeve hem near the elbow, tattooed forearm entering the frame from below. Macro-level sharpness on the brushed velvety texture. CRITICAL: absolutely no text, no letters, no logos, no labels, no brand tags visible, no watermark, no graphic overlays, no icons. Plain garment exactly as described, correct anatomy, five fingers per hand.</t>
        </is>
      </c>
      <c r="F5" s="11" t="inlineStr">
        <is>
          <t>A gerar</t>
        </is>
      </c>
    </row>
    <row r="6" ht="300" customHeight="1">
      <c r="A6" s="10" t="inlineStr">
        <is>
          <t>P01</t>
        </is>
      </c>
      <c r="B6" s="10" t="inlineStr">
        <is>
          <t>F3 — Frontal com mãos nos bolsos</t>
        </is>
      </c>
      <c r="C6" s="10" t="inlineStr">
        <is>
          <t>3ª foto e 3ª miniatura</t>
        </is>
      </c>
      <c r="D6" s="10" t="inlineStr">
        <is>
          <t>Modelo A · Cor: `off-white` · Formato: 4:5</t>
        </is>
      </c>
      <c r="E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boxy t-shirt in heavyweight 300gsm suedine knit (52% cotton / 48% polyester) with a soft brushed peach-finish, matte velvety surface, off-white, dropped shoulders with the shoulder seam falling on the upper arm, wide short sleeves ending just above the elbow, crew neck with a medium-width ribbed collar, straight hem slightly below the hip, dense opaque fabric that holds a boxy volume, tucked out, paired with matching white knit shorts with a black drawstring hanging at the front. Fabric and construction: heavy 300gsm suedine with real weight and body — the boxy volume stands away from the torso and falls in a few soft, rounded vertical folds, never clinging or rippling. The dropped shoulder seam sits well down the upper arm and the wide sleeves hold an open tube shape. The brushed peach-finish surface absorbs light (fully matte, zero shine) with a faint soft nap visible at the edges and folds. Medium ribbed collar, flat and firm, keeping a clean round shape. Tonal double-needle topstitching at sleeve hems and bottom hem; the hem hangs straight and heavy with no flare. Movement: the weight makes the fabric respond slowly — where a hand touches or pulls, it forms broad soft tension folds rather than sharp creases. Oversized fit: the body falls below the hip, chest very loose and boxy, shoulder seam dropped onto the upper arm, sleeves ending just above the elbow. Near-frontal view with a very slight turn, looking straight into the camera, head subtly tilted. Both hands tucked into the shorts pockets, thumbs out, a black leather bracelet on the left wrist. The boxy hem sits over the shorts waistband with the drawstring visible. Framing from the head to mid-thigh. CRITICAL: absolutely no text, no letters, no logos, no labels, no brand tags visible, no watermark, no graphic overlays, no icons. Plain garment exactly as described, correct anatomy, five fingers per hand.</t>
        </is>
      </c>
      <c r="F6" s="11" t="inlineStr">
        <is>
          <t>A gerar</t>
        </is>
      </c>
    </row>
    <row r="7" ht="300" customHeight="1">
      <c r="A7" s="10" t="inlineStr">
        <is>
          <t>P01</t>
        </is>
      </c>
      <c r="B7" s="10" t="inlineStr">
        <is>
          <t>F4 — Corpo inteiro frontal</t>
        </is>
      </c>
      <c r="C7" s="10" t="inlineStr">
        <is>
          <t>4ª miniatura (baixa resolução — leitura aproximada)</t>
        </is>
      </c>
      <c r="D7" s="10" t="inlineStr">
        <is>
          <t>Modelo A · Cor: `off-white` · Formato: 4:5</t>
        </is>
      </c>
      <c r="E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boxy t-shirt in heavyweight 300gsm suedine knit (52% cotton / 48% polyester) with a soft brushed peach-finish, matte velvety surface, off-white, dropped shoulders with the shoulder seam falling on the upper arm, wide short sleeves ending just above the elbow, crew neck with a medium-width ribbed collar, straight hem slightly below the hip, dense opaque fabric that holds a boxy volume, tucked out, paired with matching white knit shorts with a black drawstring hanging at the front. Fabric and construction: heavy 300gsm suedine with real weight and body — the boxy volume stands away from the torso and falls in a few soft, rounded vertical folds, never clinging or rippling. The dropped shoulder seam sits well down the upper arm and the wide sleeves hold an open tube shape. The brushed peach-finish surface absorbs light (fully matte, zero shine) with a faint soft nap visible at the edges and folds. Medium ribbed collar, flat and firm, keeping a clean round shape. Tonal double-needle topstitching at sleeve hems and bottom hem; the hem hangs straight and heavy with no flare. Movement: the weight makes the fabric respond slowly — where a hand touches or pulls, it forms broad soft tension folds rather than sharp creases. Oversized fit: the body falls below the hip, chest very loose and boxy, shoulder seam dropped onto the upper arm, sleeves ending just above the elbow. Full frontal standing pose, feet hip-width apart, arms hanging naturally at the sides, looking straight at the camera. Framing from the head to just below the knees, showing the full oversized silhouette over the matching shorts. CRITICAL: absolutely no text, no letters, no logos, no labels, no brand tags visible, no watermark, no graphic overlays, no icons. Plain garment exactly as described, correct anatomy, five fingers per hand.</t>
        </is>
      </c>
      <c r="F7" s="11" t="inlineStr">
        <is>
          <t>A gerar</t>
        </is>
      </c>
    </row>
    <row r="8" ht="300" customHeight="1">
      <c r="A8" s="10" t="inlineStr">
        <is>
          <t>P02</t>
        </is>
      </c>
      <c r="B8" s="10" t="inlineStr">
        <is>
          <t>F1 — Frontal olhar baixo</t>
        </is>
      </c>
      <c r="C8" s="10" t="inlineStr">
        <is>
          <t>Origem: fotos #1 e #5 da galeria (preto, frontal, braços soltos, olhar para baixo/para fora à esquerda da câmera)</t>
        </is>
      </c>
      <c r="D8" s="10" t="inlineStr">
        <is>
          <t>Modelo A · Cor: `black` · Formato: 4:5</t>
        </is>
      </c>
      <c r="E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Frontal view with a very slight turn, standing relaxed with both arms hanging at the sides, head slightly lowered and eyes looking down and off-camera to the camera's left. A thin silver chain bracelet on the left wrist. Framing from the top of the head to upper thigh, subject centered. CRITICAL: absolutely no text, no letters, no logos, no labels, no brand tags visible, no watermark, no graphic overlays, no icons. Plain garment exactly as described, correct anatomy, five fingers per hand.</t>
        </is>
      </c>
      <c r="F8" s="11" t="inlineStr">
        <is>
          <t>A gerar</t>
        </is>
      </c>
    </row>
    <row r="9" ht="300" customHeight="1">
      <c r="A9" s="10" t="inlineStr">
        <is>
          <t>P02</t>
        </is>
      </c>
      <c r="B9" s="10" t="inlineStr">
        <is>
          <t>F2 — 3/4 braço cruzado</t>
        </is>
      </c>
      <c r="C9" s="10" t="inlineStr">
        <is>
          <t>Origem: foto #2 da galeria (preto, 3/4, antebraço cruzado na cintura)</t>
        </is>
      </c>
      <c r="D9" s="10" t="inlineStr">
        <is>
          <t>Modelo A · Cor: `black` · Formato: 4:5</t>
        </is>
      </c>
      <c r="E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Three-quarter view, torso turned to the camera's left, head turned to the side with eyes looking off-camera. One tattooed forearm crosses in front of the waist, the hand holding the other forearm just above the wrist, showing the width of the sleeve and the dropped shoulder. Framing from the head to upper thigh. CRITICAL: absolutely no text, no letters, no logos, no labels, no brand tags visible, no watermark, no graphic overlays, no icons. Plain garment exactly as described, correct anatomy, five fingers per hand.</t>
        </is>
      </c>
      <c r="F9" s="11" t="inlineStr">
        <is>
          <t>A gerar</t>
        </is>
      </c>
    </row>
    <row r="10" ht="300" customHeight="1">
      <c r="A10" s="10" t="inlineStr">
        <is>
          <t>P02</t>
        </is>
      </c>
      <c r="B10" s="10" t="inlineStr">
        <is>
          <t>F3 — Frontal olhar direto</t>
        </is>
      </c>
      <c r="C10" s="10" t="inlineStr">
        <is>
          <t>Origem: fotos #3 (preto) e #8 (branco) da galeria (frontal, olhar na câmera, queixo levemente erguido)</t>
        </is>
      </c>
      <c r="D10" s="10" t="inlineStr">
        <is>
          <t>Modelo A · Cor: `black` · Formato: 4:5</t>
        </is>
      </c>
      <c r="E1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Frontal view, standing straight with arms relaxed at the sides, chin slightly raised, looking straight into the camera. Framing from the head to upper thigh, torso square to the lens. CRITICAL: absolutely no text, no letters, no logos, no labels, no brand tags visible, no watermark, no graphic overlays, no icons. Plain garment exactly as described, correct anatomy, five fingers per hand.</t>
        </is>
      </c>
      <c r="F10" s="11" t="inlineStr">
        <is>
          <t>A gerar</t>
        </is>
      </c>
    </row>
    <row r="11" ht="300" customHeight="1">
      <c r="A11" s="10" t="inlineStr">
        <is>
          <t>P02</t>
        </is>
      </c>
      <c r="B11" s="10" t="inlineStr">
        <is>
          <t>F4 — Detalhe gola e ombro caído</t>
        </is>
      </c>
      <c r="C11" s="10" t="inlineStr">
        <is>
          <t>Origem: fotos #4 (preto) e #10 (branco) da galeria (close da boca ao peito)</t>
        </is>
      </c>
      <c r="D11" s="10" t="inlineStr">
        <is>
          <t>Modelo A · Cor: `black` · Formato: 4:5</t>
        </is>
      </c>
      <c r="E1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Tight detail crop from the lips and beard down to the mid chest, off-center, showing the narrow ribbed collar, the dropped shoulder seam on the upper arm and the double-stitched sleeve hem on the camera's right side, with the tattooed forearm just entering the frame. Macro-level sharpness on the smooth matte cotton jersey. CRITICAL: absolutely no text, no letters, no logos, no labels, no brand tags visible, no watermark, no graphic overlays, no icons. Plain garment exactly as described, correct anatomy, five fingers per hand.</t>
        </is>
      </c>
      <c r="F11" s="11" t="inlineStr">
        <is>
          <t>A gerar</t>
        </is>
      </c>
    </row>
    <row r="12" ht="300" customHeight="1">
      <c r="A12" s="10" t="inlineStr">
        <is>
          <t>P02</t>
        </is>
      </c>
      <c r="B12" s="10" t="inlineStr">
        <is>
          <t>F5 — Frontal mãos na barra</t>
        </is>
      </c>
      <c r="C12" s="10" t="inlineStr">
        <is>
          <t>Origem: foto #6 da galeria (branco, frontal, mãos junto à barra, olhar direto)</t>
        </is>
      </c>
      <c r="D12" s="10" t="inlineStr">
        <is>
          <t>Modelo A · Cor: `black` · Formato: 4:5</t>
        </is>
      </c>
      <c r="E1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Frontal view, looking straight into the camera, arms down with the fingertips lightly touching the front hem at both sides. Framing from the head to upper thigh. CRITICAL: absolutely no text, no letters, no logos, no labels, no brand tags visible, no watermark, no graphic overlays, no icons. Plain garment exactly as described, correct anatomy, five fingers per hand.</t>
        </is>
      </c>
      <c r="F12" s="11" t="inlineStr">
        <is>
          <t>A gerar</t>
        </is>
      </c>
    </row>
    <row r="13" ht="300" customHeight="1">
      <c r="A13" s="10" t="inlineStr">
        <is>
          <t>P02</t>
        </is>
      </c>
      <c r="B13" s="10" t="inlineStr">
        <is>
          <t>F6 — Mãos entrelaçadas</t>
        </is>
      </c>
      <c r="C13" s="10" t="inlineStr">
        <is>
          <t>Origem: foto #7 da galeria (branco, mãos entrelaçadas na cintura, olhar para baixo)</t>
        </is>
      </c>
      <c r="D13" s="10" t="inlineStr">
        <is>
          <t>Modelo A · Cor: `black` · Formato: 4:5</t>
        </is>
      </c>
      <c r="E1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Near-frontal view, both hands loosely clasped in front of the waist, head lowered with eyes looking down and to the camera's left, relaxed shoulders. Framing from the head to upper thigh. CRITICAL: absolutely no text, no letters, no logos, no labels, no brand tags visible, no watermark, no graphic overlays, no icons. Plain garment exactly as described, correct anatomy, five fingers per hand.</t>
        </is>
      </c>
      <c r="F13" s="11" t="inlineStr">
        <is>
          <t>A gerar</t>
        </is>
      </c>
    </row>
    <row r="14" ht="300" customHeight="1">
      <c r="A14" s="10" t="inlineStr">
        <is>
          <t>P02</t>
        </is>
      </c>
      <c r="B14" s="10" t="inlineStr">
        <is>
          <t>F7 — 3/4 olhar para fora</t>
        </is>
      </c>
      <c r="C14" s="10" t="inlineStr">
        <is>
          <t>Origem: foto #9 da galeria (branco, 3/4, cabeça virada, olhar fora do quadro)</t>
        </is>
      </c>
      <c r="D14" s="10" t="inlineStr">
        <is>
          <t>Modelo A · Cor: `black` · Formato: 4:5</t>
        </is>
      </c>
      <c r="E1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Three-quarter view, body turned slightly to the camera's right, head turned toward the camera's left with eyes looking off-frame, arms relaxed at the sides. Framing from the head to upper thigh. CRITICAL: absolutely no text, no letters, no logos, no labels, no brand tags visible, no watermark, no graphic overlays, no icons. Plain garment exactly as described, correct anatomy, five fingers per hand.</t>
        </is>
      </c>
      <c r="F14" s="11" t="inlineStr">
        <is>
          <t>A gerar</t>
        </is>
      </c>
    </row>
    <row r="15" ht="300" customHeight="1">
      <c r="A15" s="10" t="inlineStr">
        <is>
          <t>P02</t>
        </is>
      </c>
      <c r="B15" s="10" t="inlineStr">
        <is>
          <t>F8 — Mockup de personalização (versão HMZT)</t>
        </is>
      </c>
      <c r="C15" s="10" t="inlineStr">
        <is>
          <t>Origem: foto 3 do print de 29/09 (arte promocional do fornecedor com texto sobre peça preta) — não está mais na galeria atual; aqui vira frente lisa para aplicar arte HMZT depois</t>
        </is>
      </c>
      <c r="D15" s="10" t="inlineStr">
        <is>
          <t>Modelo A · Cor: `black` · Formato: 4:5</t>
        </is>
      </c>
      <c r="E1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drop-shoulder t-shirt in 185gsm 100% combed cotton single jersey, black, relaxed straight roomy body, dropped shoulders with the seam sitting a couple of centimeters down the upper arm, wide short sleeves ending just above the elbow with a double-stitched hem, narrow 2x1 ribbed crew neck lying flat and round, straight double-stitched hem below the hip, smooth matte cotton surface, opaque, tucked out, paired with light-wash blue straight jeans. Fabric and construction: mid-weight 185gsm 100% combed cotton single jersey with a soft, smooth, matte hand and only a faint natural cotton sheen; it has enough body to keep a loose oversized volume without clinging, yet it is clearly lighter than a heavyweight tee — it falls from the chest in a few soft vertical folds and forms gentle ripples just above the hem. Narrow 2x1 ribbed collar with a closed ring finish and shoulder-to-shoulder tape keeps a clean round shape; dropped shoulder seam on the upper arm; chain-stitched seams; double-needle hems at sleeves and body; anti-twist finish keeps side seams hanging straight. Movement: light and fluid — sleeves swing and crease softly when the arm moves, and where a hand touches the fabric it forms small soft folds rather than thick rounded ones. Fit on the model (size M on a 1.84 m, 84 kg man): body length 76 cm ending below the hip and covering the jeans waistband, flat chest width 58 cm giving a loose straight body with visible ease, shoulder width 50 cm so the shoulder seam drops about 2 cm past each shoulder point, sleeve length 22 cm ending just above the elbow with a wide opening. Frontal view, arms relaxed, looking at the camera, torso perfectly square to the lens so the whole front panel is flat, smooth and unobstructed, ready for a print to be composited later. Framing from the chin to upper thigh so the chest area is large in frame. CRITICAL: absolutely no text, no letters, no logos, no labels, no brand tags visible, no watermark, no graphic overlays, no icons. Plain garment exactly as described, correct anatomy, five fingers per hand.</t>
        </is>
      </c>
      <c r="F15" s="11" t="inlineStr">
        <is>
          <t>A gerar</t>
        </is>
      </c>
    </row>
    <row r="16" ht="300" customHeight="1">
      <c r="A16" s="10" t="inlineStr">
        <is>
          <t>P03</t>
        </is>
      </c>
      <c r="B16" s="10" t="inlineStr">
        <is>
          <t>F1 — Hero mão na gola</t>
        </is>
      </c>
      <c r="C16" s="10" t="inlineStr">
        <is>
          <t>Foto principal e 1ª miniatura</t>
        </is>
      </c>
      <c r="D16" s="10" t="inlineStr">
        <is>
          <t>Modelo A · Cor: `dark chocolate brown` · Formato: 4:5</t>
        </is>
      </c>
      <c r="E1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lightweight 165gsm 100% pima cotton jersey, dark chocolate brown, smooth silky surface with a subtle natural sheen, set-in shoulders, fitted short sleeves ending mid-bicep, narrow ribbed crew neck sitting close to the neck, straight double-stitched hem at the hip, tucked out, paired with light-wash blue jeans with ripped distressing on the thighs. Fabric and construction: lightweight 165gsm 100% pima cotton jersey — fluid and soft, draping close to the body with fine, small folds at the waist and sleeves; light catches a subtle silky sheen along the fold ridges. No elastane: a few realistic soft creases at the inner elbow and lower back are natural. Narrow reinforced ribbed collar, lying flat against the neck; shoulder-to-shoulder internal tape keeps the shoulder line clean and straight. Tonal double-needle hems at sleeves and an invisible double hem at the bottom, hanging straight. Movement: the fabric follows every gesture — when the arm lifts, the side of the body gently pulls with thin diagonal tension folds. Fit on the model (size M on a 1.84 m, 84 kg man): body length 72 cm ending at the hip, chest width 54 cm giving 2–4 cm of relaxed ease, shoulder width 46 cm with the shoulder seam sitting exactly on the shoulder point, sleeve length 18 cm ending mid-bicep. Near-frontal view, looking straight into the camera with a slight head tilt. His left arm is raised with the elbow out to the side and the hand touching the collar near the base of the neck, a black leather bracelet on that wrist; the other arm hangs relaxed. Framing from the head to upper thigh. CRITICAL: absolutely no text, no letters, no logos, no labels, no brand tags visible, no watermark, no graphic overlays, no icons. Plain garment exactly as described, correct anatomy, five fingers per hand.</t>
        </is>
      </c>
      <c r="F16" s="11" t="inlineStr">
        <is>
          <t>A gerar</t>
        </is>
      </c>
    </row>
    <row r="17" ht="300" customHeight="1">
      <c r="A17" s="10" t="inlineStr">
        <is>
          <t>P03</t>
        </is>
      </c>
      <c r="B17" s="10" t="inlineStr">
        <is>
          <t>F2 — Olhar baixo ajustando a manga</t>
        </is>
      </c>
      <c r="C17" s="10" t="inlineStr">
        <is>
          <t>2ª foto e 2ª miniatura</t>
        </is>
      </c>
      <c r="D17" s="10" t="inlineStr">
        <is>
          <t>Modelo A · Cor: `dark chocolate brown` · Formato: 4:5</t>
        </is>
      </c>
      <c r="E1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lightweight 165gsm 100% pima cotton jersey, dark chocolate brown, smooth silky surface with a subtle natural sheen, set-in shoulders, fitted short sleeves ending mid-bicep, narrow ribbed crew neck sitting close to the neck, straight double-stitched hem at the hip, tucked out, paired with light-wash blue jeans with ripped distressing on the thighs. Fabric and construction: lightweight 165gsm 100% pima cotton jersey — fluid and soft, draping close to the body with fine, small folds at the waist and sleeves; light catches a subtle silky sheen along the fold ridges. No elastane: a few realistic soft creases at the inner elbow and lower back are natural. Narrow reinforced ribbed collar, lying flat against the neck; shoulder-to-shoulder internal tape keeps the shoulder line clean and straight. Tonal double-needle hems at sleeves and an invisible double hem at the bottom, hanging straight. Movement: the fabric follows every gesture — when the arm lifts, the side of the body gently pulls with thin diagonal tension folds. Fit on the model (size M on a 1.84 m, 84 kg man): body length 72 cm ending at the hip, chest width 54 cm giving 2–4 cm of relaxed ease, shoulder width 46 cm with the shoulder seam sitting exactly on the shoulder point, sleeve length 18 cm ending mid-bicep. Three-quarter view, head bowed with eyes looking down at his arm. His right hand crosses the body and pinches the hem of the left sleeve, the left arm bent across the torso, a black bracelet on the left wrist and a silver ring on the left hand. Framing from the head to upper thigh. CRITICAL: absolutely no text, no letters, no logos, no labels, no brand tags visible, no watermark, no graphic overlays, no icons. Plain garment exactly as described, correct anatomy, five fingers per hand.</t>
        </is>
      </c>
      <c r="F17" s="11" t="inlineStr">
        <is>
          <t>A gerar</t>
        </is>
      </c>
    </row>
    <row r="18" ht="300" customHeight="1">
      <c r="A18" s="10" t="inlineStr">
        <is>
          <t>P03</t>
        </is>
      </c>
      <c r="B18" s="10" t="inlineStr">
        <is>
          <t>F3 — Frontal mãos nos bolsos da frente</t>
        </is>
      </c>
      <c r="C18" s="10" t="inlineStr">
        <is>
          <t>3ª foto e 3ª miniatura</t>
        </is>
      </c>
      <c r="D18" s="10" t="inlineStr">
        <is>
          <t>Modelo A · Cor: `dark chocolate brown` · Formato: 4:5</t>
        </is>
      </c>
      <c r="E1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lightweight 165gsm 100% pima cotton jersey, dark chocolate brown, smooth silky surface with a subtle natural sheen, set-in shoulders, fitted short sleeves ending mid-bicep, narrow ribbed crew neck sitting close to the neck, straight double-stitched hem at the hip, tucked out, paired with light-wash blue jeans with ripped distressing on the thighs. Fabric and construction: lightweight 165gsm 100% pima cotton jersey — fluid and soft, draping close to the body with fine, small folds at the waist and sleeves; light catches a subtle silky sheen along the fold ridges. No elastane: a few realistic soft creases at the inner elbow and lower back are natural. Narrow reinforced ribbed collar, lying flat against the neck; shoulder-to-shoulder internal tape keeps the shoulder line clean and straight. Tonal double-needle hems at sleeves and an invisible double hem at the bottom, hanging straight. Movement: the fabric follows every gesture — when the arm lifts, the side of the body gently pulls with thin diagonal tension folds. Fit on the model (size M on a 1.84 m, 84 kg man): body length 72 cm ending at the hip, chest width 54 cm giving 2–4 cm of relaxed ease, shoulder width 46 cm with the shoulder seam sitting exactly on the shoulder point, sleeve length 18 cm ending mid-bicep. Frontal view, looking straight at the camera, shoulders square. Both hands rest at the front jeans pockets with fingertips hooked in, a black bracelet on the left wrist and a ring on the left hand. Framing from the head to upper thigh. CRITICAL: absolutely no text, no letters, no logos, no labels, no brand tags visible, no watermark, no graphic overlays, no icons. Plain garment exactly as described, correct anatomy, five fingers per hand.</t>
        </is>
      </c>
      <c r="F18" s="11" t="inlineStr">
        <is>
          <t>A gerar</t>
        </is>
      </c>
    </row>
    <row r="19" ht="300" customHeight="1">
      <c r="A19" s="10" t="inlineStr">
        <is>
          <t>P03</t>
        </is>
      </c>
      <c r="B19" s="10" t="inlineStr">
        <is>
          <t>F4 — Variação de cor (mesma pose da F1)</t>
        </is>
      </c>
      <c r="C19" s="10" t="inlineStr">
        <is>
          <t>5ª miniatura — peça em tom terracota/capuccino</t>
        </is>
      </c>
      <c r="D19" s="10" t="inlineStr">
        <is>
          <t>Modelo A · Cor: `warm terracotta-capuccino brown` · Formato: 4:5</t>
        </is>
      </c>
      <c r="E1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lightweight 165gsm 100% pima cotton jersey, warm terracotta-capuccino brown, smooth silky surface with a subtle natural sheen, set-in shoulders, fitted short sleeves ending mid-bicep, narrow ribbed crew neck sitting close to the neck, straight double-stitched hem at the hip, tucked out, paired with light-wash blue jeans with ripped distressing on the thighs. Fabric and construction: lightweight 165gsm 100% pima cotton jersey — fluid and soft, draping close to the body with fine, small folds at the waist and sleeves; light catches a subtle silky sheen along the fold ridges. No elastane: a few realistic soft creases at the inner elbow and lower back are natural. Narrow reinforced ribbed collar, lying flat against the neck; shoulder-to-shoulder internal tape keeps the shoulder line clean and straight. Tonal double-needle hems at sleeves and an invisible double hem at the bottom, hanging straight. Movement: the fabric follows every gesture — when the arm lifts, the side of the body gently pulls with thin diagonal tension folds. Fit on the model (size M on a 1.84 m, 84 kg man): body length 72 cm ending at the hip, chest width 54 cm giving 2–4 cm of relaxed ease, shoulder width 46 cm with the shoulder seam sitting exactly on the shoulder point, sleeve length 18 cm ending mid-bicep. Same pose as the hero shot: near-frontal, left hand touching the collar near the neck with elbow out, looking at the camera. Framing from the head to upper thigh. CRITICAL: absolutely no text, no letters, no logos, no labels, no brand tags visible, no watermark, no graphic overlays, no icons. Plain garment exactly as described, correct anatomy, five fingers per hand.</t>
        </is>
      </c>
      <c r="F19" s="11" t="inlineStr">
        <is>
          <t>A gerar</t>
        </is>
      </c>
    </row>
    <row r="20" ht="300" customHeight="1">
      <c r="A20" s="10" t="inlineStr">
        <is>
          <t>P04</t>
        </is>
      </c>
      <c r="B20" s="10" t="inlineStr">
        <is>
          <t>F1 — Frontal braços soltos</t>
        </is>
      </c>
      <c r="C20" s="10" t="inlineStr">
        <is>
          <t>Foto principal e 1ª miniatura</t>
        </is>
      </c>
      <c r="D20" s="10" t="inlineStr">
        <is>
          <t>Modelo A · Cor: `pale blush nude beige` · Formato: 4:5</t>
        </is>
      </c>
      <c r="E2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heavyweight 300gsm suedine knit (52% cotton / 48% polyester), pale blush nude beige, velvety matte brushed surface that looks like soft suede, structured body that holds its shape without clinging, set-in shoulders, straight short sleeves ending mid-bicep with a turned double-stitched hem, medium-width ribbed crew neck, straight hem at the hip, fully opaque, tucked out, paired with black slim trousers. Fabric and construction: heavy 300gsm suedine knit with real weight — the structured regular body holds its own shape, side seams hang perfectly vertical and the fabric forms only a few broad, soft folds; it does not cling to the chest or stomach. Sleeves stand as clean tubes ending in a turned double-stitched hem. The brushed velvety surface is fully matte like soft suede, with a gentle nap that softens the edges of folds. Firm medium ribbed collar keeping a perfect round shape; shoulder-to-shoulder internal tape; reinforced tonal seams. Movement: slow and weighty — where a hand touches the hem, the fabric bends in a thick rounded fold instead of wrinkling. Fit on the model (size M on a 1.84 m, 84 kg man): body length 72 cm ending at the hip, chest width 54 cm giving 2–4 cm of relaxed ease, shoulder width 46 cm with the shoulder seam sitting exactly on the shoulder point, sleeve length 18 cm ending mid-bicep. Frontal view, standing straight with arms relaxed at the sides, looking straight into the camera, a black leather bracelet on the left wrist. Framing from the head to upper thigh. CRITICAL: absolutely no text, no letters, no logos, no labels, no brand tags visible, no watermark, no graphic overlays, no icons. Plain garment exactly as described, correct anatomy, five fingers per hand.</t>
        </is>
      </c>
      <c r="F20" s="11" t="inlineStr">
        <is>
          <t>A gerar</t>
        </is>
      </c>
    </row>
    <row r="21" ht="300" customHeight="1">
      <c r="A21" s="10" t="inlineStr">
        <is>
          <t>P04</t>
        </is>
      </c>
      <c r="B21" s="10" t="inlineStr">
        <is>
          <t>F2 — Detalhe gola e punho</t>
        </is>
      </c>
      <c r="C21" s="10" t="inlineStr">
        <is>
          <t>2ª foto e 2ª miniatura</t>
        </is>
      </c>
      <c r="D21" s="10" t="inlineStr">
        <is>
          <t>Modelo A · Cor: `pale blush nude beige` · Formato: 4:5</t>
        </is>
      </c>
      <c r="E2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heavyweight 300gsm suedine knit (52% cotton / 48% polyester), pale blush nude beige, velvety matte brushed surface that looks like soft suede, structured body that holds its shape without clinging, set-in shoulders, straight short sleeves ending mid-bicep with a turned double-stitched hem, medium-width ribbed crew neck, straight hem at the hip, fully opaque, tucked out, paired with black slim trousers. Fabric and construction: heavy 300gsm suedine knit with real weight — the structured regular body holds its own shape, side seams hang perfectly vertical and the fabric forms only a few broad, soft folds; it does not cling to the chest or stomach. Sleeves stand as clean tubes ending in a turned double-stitched hem. The brushed velvety surface is fully matte like soft suede, with a gentle nap that softens the edges of folds. Firm medium ribbed collar keeping a perfect round shape; shoulder-to-shoulder internal tape; reinforced tonal seams. Movement: slow and weighty — where a hand touches the hem, the fabric bends in a thick rounded fold instead of wrinkling. Fit on the model (size M on a 1.84 m, 84 kg man): body length 72 cm ending at the hip, chest width 54 cm giving 2–4 cm of relaxed ease, shoulder width 46 cm with the shoulder seam sitting exactly on the shoulder point, sleeve length 18 cm ending mid-bicep. Tight detail crop from the lips and beard down to the mid chest, off-center to the camera's right to show the collar ribbing, the shoulder seam and the turned sleeve hem on his left arm, with the tattooed forearm just entering the frame. Macro-level sharpness on the brushed suede-like texture. CRITICAL: absolutely no text, no letters, no logos, no labels, no brand tags visible, no watermark, no graphic overlays, no icons. Plain garment exactly as described, correct anatomy, five fingers per hand.</t>
        </is>
      </c>
      <c r="F21" s="11" t="inlineStr">
        <is>
          <t>A gerar</t>
        </is>
      </c>
    </row>
    <row r="22" ht="300" customHeight="1">
      <c r="A22" s="10" t="inlineStr">
        <is>
          <t>P04</t>
        </is>
      </c>
      <c r="B22" s="10" t="inlineStr">
        <is>
          <t>F3 — Frontal plano aberto</t>
        </is>
      </c>
      <c r="C22" s="10" t="inlineStr">
        <is>
          <t>3ª miniatura</t>
        </is>
      </c>
      <c r="D22" s="10" t="inlineStr">
        <is>
          <t>Modelo A · Cor: `pale blush nude beige` · Formato: 4:5</t>
        </is>
      </c>
      <c r="E2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heavyweight 300gsm suedine knit (52% cotton / 48% polyester), pale blush nude beige, velvety matte brushed surface that looks like soft suede, structured body that holds its shape without clinging, set-in shoulders, straight short sleeves ending mid-bicep with a turned double-stitched hem, medium-width ribbed crew neck, straight hem at the hip, fully opaque, tucked out, paired with black slim trousers. Fabric and construction: heavy 300gsm suedine knit with real weight — the structured regular body holds its own shape, side seams hang perfectly vertical and the fabric forms only a few broad, soft folds; it does not cling to the chest or stomach. Sleeves stand as clean tubes ending in a turned double-stitched hem. The brushed velvety surface is fully matte like soft suede, with a gentle nap that softens the edges of folds. Firm medium ribbed collar keeping a perfect round shape; shoulder-to-shoulder internal tape; reinforced tonal seams. Movement: slow and weighty — where a hand touches the hem, the fabric bends in a thick rounded fold instead of wrinkling. Fit on the model (size M on a 1.84 m, 84 kg man): body length 72 cm ending at the hip, chest width 54 cm giving 2–4 cm of relaxed ease, shoulder width 46 cm with the shoulder seam sitting exactly on the shoulder point, sleeve length 18 cm ending mid-bicep. Frontal view, arms relaxed, looking at the camera, wider framing from the head to just above the knees, showing the black trousers. CRITICAL: absolutely no text, no letters, no logos, no labels, no brand tags visible, no watermark, no graphic overlays, no icons. Plain garment exactly as described, correct anatomy, five fingers per hand.</t>
        </is>
      </c>
      <c r="F22" s="11" t="inlineStr">
        <is>
          <t>A gerar</t>
        </is>
      </c>
    </row>
    <row r="23" ht="300" customHeight="1">
      <c r="A23" s="10" t="inlineStr">
        <is>
          <t>P04</t>
        </is>
      </c>
      <c r="B23" s="10" t="inlineStr">
        <is>
          <t>F4 — 3/4 tocando a barra</t>
        </is>
      </c>
      <c r="C23" s="10" t="inlineStr">
        <is>
          <t>3ª foto e 4ª miniatura</t>
        </is>
      </c>
      <c r="D23" s="10" t="inlineStr">
        <is>
          <t>Modelo A · Cor: `pale blush nude beige` · Formato: 4:5</t>
        </is>
      </c>
      <c r="E2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heavyweight 300gsm suedine knit (52% cotton / 48% polyester), pale blush nude beige, velvety matte brushed surface that looks like soft suede, structured body that holds its shape without clinging, set-in shoulders, straight short sleeves ending mid-bicep with a turned double-stitched hem, medium-width ribbed crew neck, straight hem at the hip, fully opaque, tucked out, paired with black slim trousers. Fabric and construction: heavy 300gsm suedine knit with real weight — the structured regular body holds its own shape, side seams hang perfectly vertical and the fabric forms only a few broad, soft folds; it does not cling to the chest or stomach. Sleeves stand as clean tubes ending in a turned double-stitched hem. The brushed velvety surface is fully matte like soft suede, with a gentle nap that softens the edges of folds. Firm medium ribbed collar keeping a perfect round shape; shoulder-to-shoulder internal tape; reinforced tonal seams. Movement: slow and weighty — where a hand touches the hem, the fabric bends in a thick rounded fold instead of wrinkling. Fit on the model (size M on a 1.84 m, 84 kg man): body length 72 cm ending at the hip, chest width 54 cm giving 2–4 cm of relaxed ease, shoulder width 46 cm with the shoulder seam sitting exactly on the shoulder point, sleeve length 18 cm ending mid-bicep. Three-quarter view, body turned to the camera's left, face toward the camera. His left hand fingertips lightly touch the hem at the side, a black bracelet on that wrist. Framing from the head to upper thigh. CRITICAL: absolutely no text, no letters, no logos, no labels, no brand tags visible, no watermark, no graphic overlays, no icons. Plain garment exactly as described, correct anatomy, five fingers per hand.</t>
        </is>
      </c>
      <c r="F23" s="11" t="inlineStr">
        <is>
          <t>A gerar</t>
        </is>
      </c>
    </row>
    <row r="24" ht="300" customHeight="1">
      <c r="A24" s="10" t="inlineStr">
        <is>
          <t>P04</t>
        </is>
      </c>
      <c r="B24" s="10" t="inlineStr">
        <is>
          <t>F5 — Lateral</t>
        </is>
      </c>
      <c r="C24" s="10" t="inlineStr">
        <is>
          <t>5ª miniatura (baixa resolução — leitura aproximada)</t>
        </is>
      </c>
      <c r="D24" s="10" t="inlineStr">
        <is>
          <t>Modelo A · Cor: `pale blush nude beige` · Formato: 4:5</t>
        </is>
      </c>
      <c r="E2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heavyweight 300gsm suedine knit (52% cotton / 48% polyester), pale blush nude beige, velvety matte brushed surface that looks like soft suede, structured body that holds its shape without clinging, set-in shoulders, straight short sleeves ending mid-bicep with a turned double-stitched hem, medium-width ribbed crew neck, straight hem at the hip, fully opaque, tucked out, paired with black slim trousers. Fabric and construction: heavy 300gsm suedine knit with real weight — the structured regular body holds its own shape, side seams hang perfectly vertical and the fabric forms only a few broad, soft folds; it does not cling to the chest or stomach. Sleeves stand as clean tubes ending in a turned double-stitched hem. The brushed velvety surface is fully matte like soft suede, with a gentle nap that softens the edges of folds. Firm medium ribbed collar keeping a perfect round shape; shoulder-to-shoulder internal tape; reinforced tonal seams. Movement: slow and weighty — where a hand touches the hem, the fabric bends in a thick rounded fold instead of wrinkling. Fit on the model (size M on a 1.84 m, 84 kg man): body length 72 cm ending at the hip, chest width 54 cm giving 2–4 cm of relaxed ease, shoulder width 46 cm with the shoulder seam sitting exactly on the shoulder point, sleeve length 18 cm ending mid-bicep. Strong three-quarter to side view, body turned about 60 degrees to the camera's right, face turned back toward the camera, arms relaxed. Framing from the head to upper thigh. CRITICAL: absolutely no text, no letters, no logos, no labels, no brand tags visible, no watermark, no graphic overlays, no icons. Plain garment exactly as described, correct anatomy, five fingers per hand.</t>
        </is>
      </c>
      <c r="F24" s="11" t="inlineStr">
        <is>
          <t>A gerar</t>
        </is>
      </c>
    </row>
    <row r="25" ht="300" customHeight="1">
      <c r="A25" s="10" t="inlineStr">
        <is>
          <t>P05</t>
        </is>
      </c>
      <c r="B25" s="10" t="inlineStr">
        <is>
          <t>F1 — Hero frontal segurando a barra</t>
        </is>
      </c>
      <c r="C25" s="10" t="inlineStr">
        <is>
          <t>Foto principal e 1ª miniatura</t>
        </is>
      </c>
      <c r="D25" s="10" t="inlineStr">
        <is>
          <t>Modelo C · Cor: `jet black` · Formato: 4:5</t>
        </is>
      </c>
      <c r="E2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300gsm two-ply 100% cotton jersey, jet black, dense substantial fabric with a subtle satin sheen, straight structured body that does not cling, set-in shoulders, short sleeves ending mid-bicep, structured ribbed crew neck, double-stitched straight hem at the hip, tucked out, paired with black jeans. Fabric and construction: dense heavyweight 300gsm two-ply cotton jersey — the body stands slightly off the torso and falls in crisp, broad folds; the fabric looks substantial and holds its volume. A subtle satin sheen appears only on highlights of the folds. Structured 2x1 ribbed collar, thicker than usual, ring-knit with no front seam, holding a firm round neckline. Wide shoulder-to-shoulder internal tape, chain-stitch seams, tonal double-needle hems at sleeves and bottom. Anti-torsion finish: side seams run perfectly straight down the body, no twisting. Movement: heavy and stable — when a hand grips the hem, the fabric forms one thick fold with the rest of the body staying smooth. Fit on the model (size M on a 1.84 m, 84 kg man, regular cut): body length 72 cm ending at the hip, chest width 54 cm, shoulder 46 cm with the seam on the shoulder point, sleeve 18 cm ending mid-bicep. Near-frontal view with a slight turn to the camera's left, chin slightly lowered, looking straight into the camera. His right hand loosely grips the front hem of the t-shirt, the left arm hangs relaxed. Framing from the head to upper thigh. CRITICAL: absolutely no text, no letters, no logos, no labels, no brand tags visible, no watermark, no graphic overlays, no icons. Plain garment exactly as described, correct anatomy, five fingers per hand.</t>
        </is>
      </c>
      <c r="F25" s="11" t="inlineStr">
        <is>
          <t>A gerar</t>
        </is>
      </c>
    </row>
    <row r="26" ht="300" customHeight="1">
      <c r="A26" s="10" t="inlineStr">
        <is>
          <t>P05</t>
        </is>
      </c>
      <c r="B26" s="10" t="inlineStr">
        <is>
          <t>F2 — 3/4</t>
        </is>
      </c>
      <c r="C26" s="10" t="inlineStr">
        <is>
          <t>2ª foto e 2ª miniatura</t>
        </is>
      </c>
      <c r="D26" s="10" t="inlineStr">
        <is>
          <t>Modelo C · Cor: `jet black` · Formato: 4:5</t>
        </is>
      </c>
      <c r="E2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300gsm two-ply 100% cotton jersey, jet black, dense substantial fabric with a subtle satin sheen, straight structured body that does not cling, set-in shoulders, short sleeves ending mid-bicep, structured ribbed crew neck, double-stitched straight hem at the hip, tucked out, paired with black jeans. Fabric and construction: dense heavyweight 300gsm two-ply cotton jersey — the body stands slightly off the torso and falls in crisp, broad folds; the fabric looks substantial and holds its volume. A subtle satin sheen appears only on highlights of the folds. Structured 2x1 ribbed collar, thicker than usual, ring-knit with no front seam, holding a firm round neckline. Wide shoulder-to-shoulder internal tape, chain-stitch seams, tonal double-needle hems at sleeves and bottom. Anti-torsion finish: side seams run perfectly straight down the body, no twisting. Movement: heavy and stable — when a hand grips the hem, the fabric forms one thick fold with the rest of the body staying smooth. Fit on the model (size M on a 1.84 m, 84 kg man, regular cut): body length 72 cm ending at the hip, chest width 54 cm, shoulder 46 cm with the seam on the shoulder point, sleeve 18 cm ending mid-bicep. Three-quarter view, body turned to the camera's right, face toward the camera, arms relaxed at the sides with hands slightly curled. Framing from the head to upper thigh. CRITICAL: absolutely no text, no letters, no logos, no labels, no brand tags visible, no watermark, no graphic overlays, no icons. Plain garment exactly as described, correct anatomy, five fingers per hand.</t>
        </is>
      </c>
      <c r="F26" s="11" t="inlineStr">
        <is>
          <t>A gerar</t>
        </is>
      </c>
    </row>
    <row r="27" ht="300" customHeight="1">
      <c r="A27" s="10" t="inlineStr">
        <is>
          <t>P05</t>
        </is>
      </c>
      <c r="B27" s="10" t="inlineStr">
        <is>
          <t>F3 — Costas</t>
        </is>
      </c>
      <c r="C27" s="10" t="inlineStr">
        <is>
          <t>3ª foto e 3ª miniatura</t>
        </is>
      </c>
      <c r="D27" s="10" t="inlineStr">
        <is>
          <t>Modelo C · Cor: `jet black` · Formato: 4:5</t>
        </is>
      </c>
      <c r="E2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300gsm two-ply 100% cotton jersey, jet black, dense substantial fabric with a subtle satin sheen, straight structured body that does not cling, set-in shoulders, short sleeves ending mid-bicep, structured ribbed crew neck, double-stitched straight hem at the hip, tucked out, paired with black jeans. Fabric and construction: dense heavyweight 300gsm two-ply cotton jersey — the body stands slightly off the torso and falls in crisp, broad folds; the fabric looks substantial and holds its volume. A subtle satin sheen appears only on highlights of the folds. Structured 2x1 ribbed collar, thicker than usual, ring-knit with no front seam, holding a firm round neckline. Wide shoulder-to-shoulder internal tape, chain-stitch seams, tonal double-needle hems at sleeves and bottom. Anti-torsion finish: side seams run perfectly straight down the body, no twisting. Movement: heavy and stable — when a hand grips the hem, the fabric forms one thick fold with the rest of the body staying smooth. Fit on the model (size M on a 1.84 m, 84 kg man, regular cut): body length 72 cm ending at the hip, chest width 54 cm, shoulder 46 cm with the seam on the shoulder point, sleeve 18 cm ending mid-bicep. Back view, standing straight with arms relaxed, head turned very slightly to his left so part of the ear and cheek show. Clean seamless back panel of the t-shirt, no center seam. Framing from the head to upper thigh. CRITICAL: absolutely no text, no letters, no logos, no labels, no brand tags visible, no watermark, no graphic overlays, no icons. Plain garment exactly as described, correct anatomy, five fingers per hand.</t>
        </is>
      </c>
      <c r="F27" s="11" t="inlineStr">
        <is>
          <t>A gerar</t>
        </is>
      </c>
    </row>
    <row r="28" ht="300" customHeight="1">
      <c r="A28" s="10" t="inlineStr">
        <is>
          <t>P05</t>
        </is>
      </c>
      <c r="B28" s="10" t="inlineStr">
        <is>
          <t>F4 — Mockup de personalização (versão HMZT)</t>
        </is>
      </c>
      <c r="C28" s="10" t="inlineStr">
        <is>
          <t>4ª miniatura — no original é a arte promocional do fornecedor sobre peça off-white; aqui vira base lisa para arte HMZT</t>
        </is>
      </c>
      <c r="D28" s="10" t="inlineStr">
        <is>
          <t>Modelo D · Cor: `off-white` · Formato: 4:5</t>
        </is>
      </c>
      <c r="E2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young Black man in his early 20s, tall and slim, very short buzzed hair, clean-shaven, neutral calm expression. He wears a regular fit heavyweight t-shirt in 300gsm two-ply 100% cotton jersey, off-white, dense substantial fabric with a subtle satin sheen, straight structured body that does not cling, set-in shoulders, short sleeves ending mid-bicep, structured ribbed crew neck, double-stitched straight hem at the hip, tucked out, paired with black trousers. Fabric and construction: dense heavyweight 300gsm two-ply cotton jersey — the body stands slightly off the torso and falls in crisp, broad folds; the fabric looks substantial and holds its volume. A subtle satin sheen appears only on highlights of the folds. Structured 2x1 ribbed collar, thicker than usual, ring-knit with no front seam, holding a firm round neckline. Wide shoulder-to-shoulder internal tape, chain-stitch seams, tonal double-needle hems at sleeves and bottom. Anti-torsion finish: side seams run perfectly straight down the body, no twisting. Movement: heavy and stable — when a hand grips the hem, the fabric forms one thick fold with the rest of the body staying smooth. Fit on the model (size M on a 1.84 m, 84 kg man, regular cut): body length 72 cm ending at the hip, chest width 54 cm, shoulder 46 cm with the seam on the shoulder point, sleeve 18 cm ending mid-bicep. Frontal view, hands in the pockets of black trousers, looking at the camera, torso square to the lens so the whole front panel is flat and unobstructed for compositing a print later. Framing from the head to upper thigh. CRITICAL: absolutely no text, no letters, no logos, no labels, no brand tags visible, no watermark, no graphic overlays, no icons. Plain garment exactly as described, correct anatomy, five fingers per hand.</t>
        </is>
      </c>
      <c r="F28" s="11" t="inlineStr">
        <is>
          <t>A gerar</t>
        </is>
      </c>
    </row>
    <row r="29" ht="300" customHeight="1">
      <c r="A29" s="10" t="inlineStr">
        <is>
          <t>P05</t>
        </is>
      </c>
      <c r="B29" s="10" t="inlineStr">
        <is>
          <t>F5 — Oversized (variante não fotografada)</t>
        </is>
      </c>
      <c r="C29" s="10" t="inlineStr">
        <is>
          <t>Não existe no print — a malha também vem em oversized (dossiê P05)</t>
        </is>
      </c>
      <c r="D29" s="10" t="inlineStr">
        <is>
          <t>Modelo C · Cor: `jet black` · Formato: 4:5</t>
        </is>
      </c>
      <c r="E2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300gsm two-ply 100% cotton jersey, jet black, dense substantial fabric with a subtle satin sheen, straight structured body that does not cling, set-in shoulders, short sleeves ending mid-bicep, structured ribbed crew neck, double-stitched straight hem at the hip, tucked out, paired with black jeans. Fabric and construction: dense heavyweight 300gsm two-ply cotton jersey — the body stands slightly off the torso and falls in crisp, broad folds; the fabric looks substantial and holds its volume. A subtle satin sheen appears only on highlights of the folds. Structured 2x1 ribbed collar, thicker than usual, ring-knit with no front seam, holding a firm round neckline. Wide shoulder-to-shoulder internal tape, chain-stitch seams, tonal double-needle hems at sleeves and bottom. Anti-torsion finish: side seams run perfectly straight down the body, no twisting. Movement: heavy and stable — when a hand grips the hem, the fabric forms one thick fold with the rest of the body staying smooth. Oversized fit (size M): body length 76 cm below the hip, chest width 59 cm, dropped shoulder 56 cm, wide sleeves 25 cm ending near the elbow. Same studio. Frontal view, arms relaxed, looking at the camera. The t-shirt is the OVERSIZED cut of the same fabric: dropped shoulders, wide sleeves to the elbow, boxy body falling below the hip. Framing from the head to upper thigh. CRITICAL: absolutely no text, no letters, no logos, no labels, no brand tags visible, no watermark, no graphic overlays, no icons. Plain garment exactly as described, correct anatomy, five fingers per hand.</t>
        </is>
      </c>
      <c r="F29" s="11" t="inlineStr">
        <is>
          <t>A gerar</t>
        </is>
      </c>
    </row>
    <row r="30" ht="300" customHeight="1">
      <c r="A30" s="10" t="inlineStr">
        <is>
          <t>P06</t>
        </is>
      </c>
      <c r="B30" s="10" t="inlineStr">
        <is>
          <t>F1 — Hero puxando a barra</t>
        </is>
      </c>
      <c r="C30" s="10" t="inlineStr">
        <is>
          <t>Foto principal e 1ª miniatura</t>
        </is>
      </c>
      <c r="D30" s="10" t="inlineStr">
        <is>
          <t>Modelo C · Cor: `off-white` · Formato: 4:5</t>
        </is>
      </c>
      <c r="E3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lightweight 160gsm 100% combed cotton jersey, off-white, smooth surface with a slight satin sheen, set-in shoulders, fitted short sleeves ending mid-bicep with double hem, narrow 2x1 ribbed crew neck, straight double-stitched hem at the hip, tucked out, paired with black jeans. Fabric and construction: light 160gsm combed cotton jersey — soft and airy, it drapes and moves easily, forming small natural folds at the waist and under the arms; slight satin sheen on the smooth surface. Narrow 2x1 ribbed collar, ring-knit with no visible front seam. Shoulder-to-shoulder internal reinforcement, chain-stitch seams, tonal double-needle hems at sleeves and bottom. Anti-torsion finish: side seams hang perfectly vertical. Movement: responsive fabric — where the hand pulls the hem, fine tension lines radiate up toward the chest. Fit on the model (size M on a 1.84 m, 84 kg man): body length 72 cm ending at the hip, chest width 54 cm giving 2–4 cm of relaxed ease, shoulder width 46 cm with the shoulder seam sitting exactly on the shoulder point, sleeve length 18 cm ending mid-bicep. Near-frontal view, looking straight into the camera. His left hand pinches and slightly pulls the front hem near the waist, showing the light soft drape; the right arm hangs relaxed. Framing from the head to upper thigh. CRITICAL: absolutely no text, no letters, no logos, no labels, no brand tags visible, no watermark, no graphic overlays, no icons. Plain garment exactly as described, correct anatomy, five fingers per hand.</t>
        </is>
      </c>
      <c r="F30" s="11" t="inlineStr">
        <is>
          <t>A gerar</t>
        </is>
      </c>
    </row>
    <row r="31" ht="300" customHeight="1">
      <c r="A31" s="10" t="inlineStr">
        <is>
          <t>P06</t>
        </is>
      </c>
      <c r="B31" s="10" t="inlineStr">
        <is>
          <t>F2 — 3/4 mão no bolso, olhar lateral</t>
        </is>
      </c>
      <c r="C31" s="10" t="inlineStr">
        <is>
          <t>2ª foto e 2ª miniatura</t>
        </is>
      </c>
      <c r="D31" s="10" t="inlineStr">
        <is>
          <t>Modelo C · Cor: `off-white` · Formato: 4:5</t>
        </is>
      </c>
      <c r="E3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lightweight 160gsm 100% combed cotton jersey, off-white, smooth surface with a slight satin sheen, set-in shoulders, fitted short sleeves ending mid-bicep with double hem, narrow 2x1 ribbed crew neck, straight double-stitched hem at the hip, tucked out, paired with black jeans. Fabric and construction: light 160gsm combed cotton jersey — soft and airy, it drapes and moves easily, forming small natural folds at the waist and under the arms; slight satin sheen on the smooth surface. Narrow 2x1 ribbed collar, ring-knit with no visible front seam. Shoulder-to-shoulder internal reinforcement, chain-stitch seams, tonal double-needle hems at sleeves and bottom. Anti-torsion finish: side seams hang perfectly vertical. Movement: responsive fabric — where the hand pulls the hem, fine tension lines radiate up toward the chest. Fit on the model (size M on a 1.84 m, 84 kg man): body length 72 cm ending at the hip, chest width 54 cm giving 2–4 cm of relaxed ease, shoulder width 46 cm with the shoulder seam sitting exactly on the shoulder point, sleeve length 18 cm ending mid-bicep. Three-quarter view, body turned to the camera's left, head turned and eyes looking off-camera to the right. His right hand is tucked into the front jeans pocket, the other arm relaxed. Framing from the head to upper thigh. CRITICAL: absolutely no text, no letters, no logos, no labels, no brand tags visible, no watermark, no graphic overlays, no icons. Plain garment exactly as described, correct anatomy, five fingers per hand.</t>
        </is>
      </c>
      <c r="F31" s="11" t="inlineStr">
        <is>
          <t>A gerar</t>
        </is>
      </c>
    </row>
    <row r="32" ht="300" customHeight="1">
      <c r="A32" s="10" t="inlineStr">
        <is>
          <t>P06</t>
        </is>
      </c>
      <c r="B32" s="10" t="inlineStr">
        <is>
          <t>F3 — Detalhe gola e ombro</t>
        </is>
      </c>
      <c r="C32" s="10" t="inlineStr">
        <is>
          <t>3ª foto e 3ª miniatura</t>
        </is>
      </c>
      <c r="D32" s="10" t="inlineStr">
        <is>
          <t>Modelo C · Cor: `off-white` · Formato: 4:5</t>
        </is>
      </c>
      <c r="E3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lightweight 160gsm 100% combed cotton jersey, off-white, smooth surface with a slight satin sheen, set-in shoulders, fitted short sleeves ending mid-bicep with double hem, narrow 2x1 ribbed crew neck, straight double-stitched hem at the hip, tucked out, paired with black jeans. Fabric and construction: light 160gsm combed cotton jersey — soft and airy, it drapes and moves easily, forming small natural folds at the waist and under the arms; slight satin sheen on the smooth surface. Narrow 2x1 ribbed collar, ring-knit with no visible front seam. Shoulder-to-shoulder internal reinforcement, chain-stitch seams, tonal double-needle hems at sleeves and bottom. Anti-torsion finish: side seams hang perfectly vertical. Movement: responsive fabric — where the hand pulls the hem, fine tension lines radiate up toward the chest. Fit on the model (size M on a 1.84 m, 84 kg man): body length 72 cm ending at the hip, chest width 54 cm giving 2–4 cm of relaxed ease, shoulder width 46 cm with the shoulder seam sitting exactly on the shoulder point, sleeve length 18 cm ending mid-bicep. Tight detail crop from the nose and moustache down to the mid chest, showing the narrow ribbed collar, the shoulder seam and the double sleeve hem on the camera's right side. Macro-level sharpness on the smooth cotton jersey. CRITICAL: absolutely no text, no letters, no logos, no labels, no brand tags visible, no watermark, no graphic overlays, no icons. Plain garment exactly as described, correct anatomy, five fingers per hand.</t>
        </is>
      </c>
      <c r="F32" s="11" t="inlineStr">
        <is>
          <t>A gerar</t>
        </is>
      </c>
    </row>
    <row r="33" ht="300" customHeight="1">
      <c r="A33" s="10" t="inlineStr">
        <is>
          <t>P06</t>
        </is>
      </c>
      <c r="B33" s="10" t="inlineStr">
        <is>
          <t>F4 — Costas</t>
        </is>
      </c>
      <c r="C33" s="10" t="inlineStr">
        <is>
          <t>4ª miniatura</t>
        </is>
      </c>
      <c r="D33" s="10" t="inlineStr">
        <is>
          <t>Modelo C · Cor: `off-white` · Formato: 4:5</t>
        </is>
      </c>
      <c r="E3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lightweight 160gsm 100% combed cotton jersey, off-white, smooth surface with a slight satin sheen, set-in shoulders, fitted short sleeves ending mid-bicep with double hem, narrow 2x1 ribbed crew neck, straight double-stitched hem at the hip, tucked out, paired with black jeans. Fabric and construction: light 160gsm combed cotton jersey — soft and airy, it drapes and moves easily, forming small natural folds at the waist and under the arms; slight satin sheen on the smooth surface. Narrow 2x1 ribbed collar, ring-knit with no visible front seam. Shoulder-to-shoulder internal reinforcement, chain-stitch seams, tonal double-needle hems at sleeves and bottom. Anti-torsion finish: side seams hang perfectly vertical. Movement: responsive fabric — where the hand pulls the hem, fine tension lines radiate up toward the chest. Fit on the model (size M on a 1.84 m, 84 kg man): body length 72 cm ending at the hip, chest width 54 cm giving 2–4 cm of relaxed ease, shoulder width 46 cm with the shoulder seam sitting exactly on the shoulder point, sleeve length 18 cm ending mid-bicep. Back view, standing straight, arms relaxed at the sides, head facing forward. Clean back panel. Framing from the head to upper thigh. CRITICAL: absolutely no text, no letters, no logos, no labels, no brand tags visible, no watermark, no graphic overlays, no icons. Plain garment exactly as described, correct anatomy, five fingers per hand.</t>
        </is>
      </c>
      <c r="F33" s="11" t="inlineStr">
        <is>
          <t>A gerar</t>
        </is>
      </c>
    </row>
    <row r="34" ht="300" customHeight="1">
      <c r="A34" s="10" t="inlineStr">
        <is>
          <t>P07</t>
        </is>
      </c>
      <c r="B34" s="10" t="inlineStr">
        <is>
          <t>F1 — Hero 3/4</t>
        </is>
      </c>
      <c r="C34" s="10" t="inlineStr">
        <is>
          <t>Foto principal e 1ª miniatura</t>
        </is>
      </c>
      <c r="D34" s="10" t="inlineStr">
        <is>
          <t>Modelo A · Cor: `black` · Formato: 4:5</t>
        </is>
      </c>
      <c r="E3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220gsm cotton jersey with 4% elastane, black, smooth fabric with a subtle satin sheen that follows the body without being tight, set-in shoulders, short sleeves hugging the arm and ending mid-bicep with a double hem, narrow ribbed crew neck, straight double-stitched hem at the hip, tucked out, paired with black jeans. Fabric and construction: medium-weight 220gsm cotton jersey with 4% elastane — it follows the shape of the chest and shoulders with gentle tension, smooth and nearly wrinkle-free, recovering its shape instantly; sleeves hug the biceps without squeezing. Subtle satin sheen on the smooth surface. Narrow reinforced ribbed collar lying flat and snug; shoulder-to-shoulder internal tape; reinforced seams; tonal double-needle sleeve hems and an invisible double bottom hem hanging straight. Movement: supple and elastic — the fabric moves with the body, stretching smoothly over the shoulders and relaxing back without bagging. Fit on the model (size M on a 1.84 m, 84 kg man): body length 72 cm ending at the hip, chest width 54 cm giving 2–4 cm of relaxed ease, shoulder width 46 cm with the shoulder seam sitting exactly on the shoulder point, sleeve length 18 cm ending mid-bicep. Three-quarter view, body turned to the camera's left, face toward the camera with a slight head tilt, a fine silver chain necklace just visible at the collar. Arms relaxed, the far hand slightly curled at the hem. Framing from the head to upper thigh. CRITICAL: absolutely no text, no letters, no logos, no labels, no brand tags visible, no watermark, no graphic overlays, no icons. Plain garment exactly as described, correct anatomy, five fingers per hand.</t>
        </is>
      </c>
      <c r="F34" s="11" t="inlineStr">
        <is>
          <t>A gerar</t>
        </is>
      </c>
    </row>
    <row r="35" ht="300" customHeight="1">
      <c r="A35" s="10" t="inlineStr">
        <is>
          <t>P07</t>
        </is>
      </c>
      <c r="B35" s="10" t="inlineStr">
        <is>
          <t>F2 — Detalhe gola e manga</t>
        </is>
      </c>
      <c r="C35" s="10" t="inlineStr">
        <is>
          <t>2ª foto e 2ª miniatura</t>
        </is>
      </c>
      <c r="D35" s="10" t="inlineStr">
        <is>
          <t>Modelo A · Cor: `black` · Formato: 4:5</t>
        </is>
      </c>
      <c r="E3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220gsm cotton jersey with 4% elastane, black, smooth fabric with a subtle satin sheen that follows the body without being tight, set-in shoulders, short sleeves hugging the arm and ending mid-bicep with a double hem, narrow ribbed crew neck, straight double-stitched hem at the hip, tucked out, paired with black jeans. Fabric and construction: medium-weight 220gsm cotton jersey with 4% elastane — it follows the shape of the chest and shoulders with gentle tension, smooth and nearly wrinkle-free, recovering its shape instantly; sleeves hug the biceps without squeezing. Subtle satin sheen on the smooth surface. Narrow reinforced ribbed collar lying flat and snug; shoulder-to-shoulder internal tape; reinforced seams; tonal double-needle sleeve hems and an invisible double bottom hem hanging straight. Movement: supple and elastic — the fabric moves with the body, stretching smoothly over the shoulders and relaxing back without bagging. Fit on the model (size M on a 1.84 m, 84 kg man): body length 72 cm ending at the hip, chest width 54 cm giving 2–4 cm of relaxed ease, shoulder width 46 cm with the shoulder seam sitting exactly on the shoulder point, sleeve length 18 cm ending mid-bicep. Tight detail crop from the lips down to the mid chest, off-center to show the narrow collar, the shoulder seam and the double sleeve hem on the camera's right, with a thin silver chain necklace and a tattooed forearm just entering the frame. CRITICAL: absolutely no text, no letters, no logos, no labels, no brand tags visible, no watermark, no graphic overlays, no icons. Plain garment exactly as described, correct anatomy, five fingers per hand.</t>
        </is>
      </c>
      <c r="F35" s="11" t="inlineStr">
        <is>
          <t>A gerar</t>
        </is>
      </c>
    </row>
    <row r="36" ht="300" customHeight="1">
      <c r="A36" s="10" t="inlineStr">
        <is>
          <t>P07</t>
        </is>
      </c>
      <c r="B36" s="10" t="inlineStr">
        <is>
          <t>F3 — Frontal leve 3/4</t>
        </is>
      </c>
      <c r="C36" s="10" t="inlineStr">
        <is>
          <t>3ª foto e 3ª miniatura</t>
        </is>
      </c>
      <c r="D36" s="10" t="inlineStr">
        <is>
          <t>Modelo A · Cor: `black` · Formato: 4:5</t>
        </is>
      </c>
      <c r="E3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220gsm cotton jersey with 4% elastane, black, smooth fabric with a subtle satin sheen that follows the body without being tight, set-in shoulders, short sleeves hugging the arm and ending mid-bicep with a double hem, narrow ribbed crew neck, straight double-stitched hem at the hip, tucked out, paired with black jeans. Fabric and construction: medium-weight 220gsm cotton jersey with 4% elastane — it follows the shape of the chest and shoulders with gentle tension, smooth and nearly wrinkle-free, recovering its shape instantly; sleeves hug the biceps without squeezing. Subtle satin sheen on the smooth surface. Narrow reinforced ribbed collar lying flat and snug; shoulder-to-shoulder internal tape; reinforced seams; tonal double-needle sleeve hems and an invisible double bottom hem hanging straight. Movement: supple and elastic — the fabric moves with the body, stretching smoothly over the shoulders and relaxing back without bagging. Fit on the model (size M on a 1.84 m, 84 kg man): body length 72 cm ending at the hip, chest width 54 cm giving 2–4 cm of relaxed ease, shoulder width 46 cm with the shoulder seam sitting exactly on the shoulder point, sleeve length 18 cm ending mid-bicep. Near-frontal view turned slightly to the camera's right, looking into the camera, arms relaxed, one hand lightly touching the side hem. Framing from the head to upper thigh. CRITICAL: absolutely no text, no letters, no logos, no labels, no brand tags visible, no watermark, no graphic overlays, no icons. Plain garment exactly as described, correct anatomy, five fingers per hand.</t>
        </is>
      </c>
      <c r="F36" s="11" t="inlineStr">
        <is>
          <t>A gerar</t>
        </is>
      </c>
    </row>
    <row r="37" ht="300" customHeight="1">
      <c r="A37" s="10" t="inlineStr">
        <is>
          <t>P07</t>
        </is>
      </c>
      <c r="B37" s="10" t="inlineStr">
        <is>
          <t>F4 — Macro da malha</t>
        </is>
      </c>
      <c r="C37" s="10" t="inlineStr">
        <is>
          <t>3ª foto do 2º print — close de textura ocupando o quadro</t>
        </is>
      </c>
      <c r="D37" s="10" t="inlineStr">
        <is>
          <t>Modelo A · Cor: `black` · Formato: 1:1</t>
        </is>
      </c>
      <c r="E3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Extreme close-up of the fabric only, filling the entire frame: flat jersey knit surface with visible fine knit loops and a subtle satin sheen, soft raking light from the left to reveal the texture. No person visible. The fabric is 220gsm cotton jersey with 4% elastane, black: tight even single-jersey loops from 30/1 extra-long-staple cotton yarn, smooth face with a subtle satin sheen catching the raking light, slightly lifted by the elastane stretch, no pilling, no loose fibers. CRITICAL: absolutely no text, no letters, no logos, no labels, no brand tags visible, no watermark, no graphic overlays, no icons. Plain garment exactly as described, correct anatomy, five fingers per hand.</t>
        </is>
      </c>
      <c r="F37" s="11" t="inlineStr">
        <is>
          <t>A gerar</t>
        </is>
      </c>
    </row>
    <row r="38" ht="300" customHeight="1">
      <c r="A38" s="10" t="inlineStr">
        <is>
          <t>P07</t>
        </is>
      </c>
      <c r="B38" s="10" t="inlineStr">
        <is>
          <t>F5 — Variação de cor</t>
        </is>
      </c>
      <c r="C38" s="10" t="inlineStr">
        <is>
          <t>4ª/5ª miniatura — peça nude/rosé com calça preta</t>
        </is>
      </c>
      <c r="D38" s="10" t="inlineStr">
        <is>
          <t>Modelo A · Cor: `pale nude pink beige` · Formato: 4:5</t>
        </is>
      </c>
      <c r="E3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220gsm cotton jersey with 4% elastane, pale nude pink beige, smooth fabric with a subtle satin sheen that follows the body without being tight, set-in shoulders, short sleeves hugging the arm and ending mid-bicep with a double hem, narrow ribbed crew neck, straight double-stitched hem at the hip, tucked out, paired with black jeans. Fabric and construction: medium-weight 220gsm cotton jersey with 4% elastane — it follows the shape of the chest and shoulders with gentle tension, smooth and nearly wrinkle-free, recovering its shape instantly; sleeves hug the biceps without squeezing. Subtle satin sheen on the smooth surface. Narrow reinforced ribbed collar lying flat and snug; shoulder-to-shoulder internal tape; reinforced seams; tonal double-needle sleeve hems and an invisible double bottom hem hanging straight. Movement: supple and elastic — the fabric moves with the body, stretching smoothly over the shoulders and relaxing back without bagging. Fit on the model (size M on a 1.84 m, 84 kg man): body length 72 cm ending at the hip, chest width 54 cm giving 2–4 cm of relaxed ease, shoulder width 46 cm with the shoulder seam sitting exactly on the shoulder point, sleeve length 18 cm ending mid-bicep. Frontal view, arms relaxed, looking at the camera. Framing from the head to upper thigh. CRITICAL: absolutely no text, no letters, no logos, no labels, no brand tags visible, no watermark, no graphic overlays, no icons. Plain garment exactly as described, correct anatomy, five fingers per hand.</t>
        </is>
      </c>
      <c r="F38" s="11" t="inlineStr">
        <is>
          <t>A gerar</t>
        </is>
      </c>
    </row>
    <row r="39" ht="300" customHeight="1">
      <c r="A39" s="10" t="inlineStr">
        <is>
          <t>P08</t>
        </is>
      </c>
      <c r="B39" s="10" t="inlineStr">
        <is>
          <t>F1 — Frontal plano aberto</t>
        </is>
      </c>
      <c r="C39" s="10" t="inlineStr">
        <is>
          <t>Foto principal e 1ª miniatura</t>
        </is>
      </c>
      <c r="D39" s="10" t="inlineStr">
        <is>
          <t>Modelo C · Cor: `ivory off-white` · Formato: 4:5</t>
        </is>
      </c>
      <c r="E3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fine 170gsm extra-long-staple cotton jersey (50/1 yarn) with 8.5% elastane, ivory off-white, very smooth silky surface with a subtle natural sheen, fluid drape following the torso, set-in shoulders, fitted short sleeves ending mid-bicep with a double hem, flat smooth 2x1 rib crew neck, flat inner seams, straight hem at the hip, tucked out, paired with black jeans. Fabric and construction: fine lightweight 170gsm jersey spun from 50/1 extra-long-staple cotton with 8.5% elastane — fluid and silky, it drapes like a fine knit and gently skims the chest, shoulders and arms without creases. Very smooth, even surface with a subtle natural sheen. Flat, smooth 2x1 rib collar (no ribbed texture visible), lying perfectly flat. Flat inner seams, shoulder-to-shoulder reinforcement, double-needle hems at sleeves and bottom. Movement: very fluid and elastic — the fabric flows with the body and settles back into a clean line. Fit on the model (size M on a 1.84 m, 84 kg man): body length 72 cm ending at the hip, chest width 54 cm giving 2–4 cm of relaxed ease, shoulder width 46 cm with the shoulder seam sitting exactly on the shoulder point, sleeve length 18 cm ending mid-bicep. Straight frontal view, standing still, arms hanging at the sides with hands loosely closed, looking straight into the camera. Wider framing from the head to mid-thigh with generous space around the figure. CRITICAL: absolutely no text, no letters, no logos, no labels, no brand tags visible, no watermark, no graphic overlays, no icons. Plain garment exactly as described, correct anatomy, five fingers per hand.</t>
        </is>
      </c>
      <c r="F39" s="11" t="inlineStr">
        <is>
          <t>A gerar</t>
        </is>
      </c>
    </row>
    <row r="40" ht="300" customHeight="1">
      <c r="A40" s="10" t="inlineStr">
        <is>
          <t>P08</t>
        </is>
      </c>
      <c r="B40" s="10" t="inlineStr">
        <is>
          <t>F2 — Detalhe gola e ombro</t>
        </is>
      </c>
      <c r="C40" s="10" t="inlineStr">
        <is>
          <t>2ª foto e 2ª miniatura</t>
        </is>
      </c>
      <c r="D40" s="10" t="inlineStr">
        <is>
          <t>Modelo C · Cor: `ivory off-white` · Formato: 4:5</t>
        </is>
      </c>
      <c r="E4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fine 170gsm extra-long-staple cotton jersey (50/1 yarn) with 8.5% elastane, ivory off-white, very smooth silky surface with a subtle natural sheen, fluid drape following the torso, set-in shoulders, fitted short sleeves ending mid-bicep with a double hem, flat smooth 2x1 rib crew neck, flat inner seams, straight hem at the hip, tucked out, paired with black jeans. Fabric and construction: fine lightweight 170gsm jersey spun from 50/1 extra-long-staple cotton with 8.5% elastane — fluid and silky, it drapes like a fine knit and gently skims the chest, shoulders and arms without creases. Very smooth, even surface with a subtle natural sheen. Flat, smooth 2x1 rib collar (no ribbed texture visible), lying perfectly flat. Flat inner seams, shoulder-to-shoulder reinforcement, double-needle hems at sleeves and bottom. Movement: very fluid and elastic — the fabric flows with the body and settles back into a clean line. Fit on the model (size M on a 1.84 m, 84 kg man): body length 72 cm ending at the hip, chest width 54 cm giving 2–4 cm of relaxed ease, shoulder width 46 cm with the shoulder seam sitting exactly on the shoulder point, sleeve length 18 cm ending mid-bicep. Tight detail crop from the lips and moustache down to the mid chest, off-center to show the smooth flat collar, the shoulder seam and the double sleeve hem on the camera's right. Macro-level sharpness showing the ultra-smooth silky surface. CRITICAL: absolutely no text, no letters, no logos, no labels, no brand tags visible, no watermark, no graphic overlays, no icons. Plain garment exactly as described, correct anatomy, five fingers per hand.</t>
        </is>
      </c>
      <c r="F40" s="11" t="inlineStr">
        <is>
          <t>A gerar</t>
        </is>
      </c>
    </row>
    <row r="41" ht="300" customHeight="1">
      <c r="A41" s="10" t="inlineStr">
        <is>
          <t>P08</t>
        </is>
      </c>
      <c r="B41" s="10" t="inlineStr">
        <is>
          <t>F3 — Costas</t>
        </is>
      </c>
      <c r="C41" s="10" t="inlineStr">
        <is>
          <t>3ª foto e 3ª miniatura</t>
        </is>
      </c>
      <c r="D41" s="10" t="inlineStr">
        <is>
          <t>Modelo C · Cor: `ivory off-white` · Formato: 4:5</t>
        </is>
      </c>
      <c r="E4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fine 170gsm extra-long-staple cotton jersey (50/1 yarn) with 8.5% elastane, ivory off-white, very smooth silky surface with a subtle natural sheen, fluid drape following the torso, set-in shoulders, fitted short sleeves ending mid-bicep with a double hem, flat smooth 2x1 rib crew neck, flat inner seams, straight hem at the hip, tucked out, paired with black jeans. Fabric and construction: fine lightweight 170gsm jersey spun from 50/1 extra-long-staple cotton with 8.5% elastane — fluid and silky, it drapes like a fine knit and gently skims the chest, shoulders and arms without creases. Very smooth, even surface with a subtle natural sheen. Flat, smooth 2x1 rib collar (no ribbed texture visible), lying perfectly flat. Flat inner seams, shoulder-to-shoulder reinforcement, double-needle hems at sleeves and bottom. Movement: very fluid and elastic — the fabric flows with the body and settles back into a clean line. Fit on the model (size M on a 1.84 m, 84 kg man): body length 72 cm ending at the hip, chest width 54 cm giving 2–4 cm of relaxed ease, shoulder width 46 cm with the shoulder seam sitting exactly on the shoulder point, sleeve length 18 cm ending mid-bicep. Back view, standing straight, arms relaxed at the sides, head facing forward. Smooth clean back panel draping over the shoulder blades. Framing from the head to upper thigh. CRITICAL: absolutely no text, no letters, no logos, no labels, no brand tags visible, no watermark, no graphic overlays, no icons. Plain garment exactly as described, correct anatomy, five fingers per hand.</t>
        </is>
      </c>
      <c r="F41" s="11" t="inlineStr">
        <is>
          <t>A gerar</t>
        </is>
      </c>
    </row>
    <row r="42" ht="300" customHeight="1">
      <c r="A42" s="10" t="inlineStr">
        <is>
          <t>P08</t>
        </is>
      </c>
      <c r="B42" s="10" t="inlineStr">
        <is>
          <t>F4 — 3/4 mão no bolso</t>
        </is>
      </c>
      <c r="C42" s="10" t="inlineStr">
        <is>
          <t>4ª miniatura (baixa resolução — leitura aproximada)</t>
        </is>
      </c>
      <c r="D42" s="10" t="inlineStr">
        <is>
          <t>Modelo C · Cor: `ivory off-white` · Formato: 4:5</t>
        </is>
      </c>
      <c r="E4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t-shirt in fine 170gsm extra-long-staple cotton jersey (50/1 yarn) with 8.5% elastane, ivory off-white, very smooth silky surface with a subtle natural sheen, fluid drape following the torso, set-in shoulders, fitted short sleeves ending mid-bicep with a double hem, flat smooth 2x1 rib crew neck, flat inner seams, straight hem at the hip, tucked out, paired with black jeans. Fabric and construction: fine lightweight 170gsm jersey spun from 50/1 extra-long-staple cotton with 8.5% elastane — fluid and silky, it drapes like a fine knit and gently skims the chest, shoulders and arms without creases. Very smooth, even surface with a subtle natural sheen. Flat, smooth 2x1 rib collar (no ribbed texture visible), lying perfectly flat. Flat inner seams, shoulder-to-shoulder reinforcement, double-needle hems at sleeves and bottom. Movement: very fluid and elastic — the fabric flows with the body and settles back into a clean line. Fit on the model (size M on a 1.84 m, 84 kg man): body length 72 cm ending at the hip, chest width 54 cm giving 2–4 cm of relaxed ease, shoulder width 46 cm with the shoulder seam sitting exactly on the shoulder point, sleeve length 18 cm ending mid-bicep. Three-quarter view, body turned to the camera's right, looking at the camera, one hand in the front jeans pocket, the other arm relaxed. Framing from the head to upper thigh. CRITICAL: absolutely no text, no letters, no logos, no labels, no brand tags visible, no watermark, no graphic overlays, no icons. Plain garment exactly as described, correct anatomy, five fingers per hand.</t>
        </is>
      </c>
      <c r="F42" s="11" t="inlineStr">
        <is>
          <t>A gerar</t>
        </is>
      </c>
    </row>
    <row r="43" ht="300" customHeight="1">
      <c r="A43" s="10" t="inlineStr">
        <is>
          <t>P09</t>
        </is>
      </c>
      <c r="B43" s="10" t="inlineStr">
        <is>
          <t>F1 — Hero 3/4 enrolando a manga</t>
        </is>
      </c>
      <c r="C43" s="10" t="inlineStr">
        <is>
          <t>Foto principal e 1ª miniatura</t>
        </is>
      </c>
      <c r="D43" s="10" t="inlineStr">
        <is>
          <t>Modelo A · Cor: `warm caramel camel tan` · Formato: 4:5</t>
        </is>
      </c>
      <c r="E4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lightweight suedine knit, warm caramel camel tan, soft velvety matte brushed surface, relaxed straight fit, set-in shoulders, straight short sleeves ending mid-bicep, medium ribbed crew neck, straight hem at the hip, tucked out, paired with faded black distressed jeans. Fabric and construction: lightweight suedine knit — soft and fluid, it drapes with gentle relaxed folds and moves easily with the body. The brushed velvety surface is matte with a faint soft nap, absorbing light with no shine. Medium ribbed collar lying flat; reinforced tonal seams; straight sleeves with clean hems; pre-shrunk fabric keeping a neat regular shape. Movement: light and airy — where the hand pulls the sleeve, soft rounded folds form around the fingers. Fit on the model (size M on a 1.84 m, 84 kg man): body length 72 cm ending at the hip, chest width 54 cm giving 2–4 cm of relaxed ease, shoulder width 46 cm with the shoulder seam sitting exactly on the shoulder point, sleeve length 18 cm ending mid-bicep. Three-quarter view, body turned to the camera's left, head turned toward the camera with a direct gaze. His right hand crosses the body and pinches the hem of the left sleeve near the bicep; a thin silver chain bracelet on the right wrist. Framing from the head to upper thigh. CRITICAL: absolutely no text, no letters, no logos, no labels, no brand tags visible, no watermark, no graphic overlays, no icons. Plain garment exactly as described, correct anatomy, five fingers per hand.</t>
        </is>
      </c>
      <c r="F43" s="11" t="inlineStr">
        <is>
          <t>A gerar</t>
        </is>
      </c>
    </row>
    <row r="44" ht="300" customHeight="1">
      <c r="A44" s="10" t="inlineStr">
        <is>
          <t>P09</t>
        </is>
      </c>
      <c r="B44" s="10" t="inlineStr">
        <is>
          <t>F2 — Detalhe gola e ombro</t>
        </is>
      </c>
      <c r="C44" s="10" t="inlineStr">
        <is>
          <t>2ª foto e 2ª miniatura</t>
        </is>
      </c>
      <c r="D44" s="10" t="inlineStr">
        <is>
          <t>Modelo A · Cor: `warm caramel camel tan` · Formato: 4:5</t>
        </is>
      </c>
      <c r="E4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lightweight suedine knit, warm caramel camel tan, soft velvety matte brushed surface, relaxed straight fit, set-in shoulders, straight short sleeves ending mid-bicep, medium ribbed crew neck, straight hem at the hip, tucked out, paired with faded black distressed jeans. Fabric and construction: lightweight suedine knit — soft and fluid, it drapes with gentle relaxed folds and moves easily with the body. The brushed velvety surface is matte with a faint soft nap, absorbing light with no shine. Medium ribbed collar lying flat; reinforced tonal seams; straight sleeves with clean hems; pre-shrunk fabric keeping a neat regular shape. Movement: light and airy — where the hand pulls the sleeve, soft rounded folds form around the fingers. Fit on the model (size M on a 1.84 m, 84 kg man): body length 72 cm ending at the hip, chest width 54 cm giving 2–4 cm of relaxed ease, shoulder width 46 cm with the shoulder seam sitting exactly on the shoulder point, sleeve length 18 cm ending mid-bicep. Tight detail crop from the beard down to the mid chest, off-center to show the ribbed collar, the shoulder seam and the sleeve hem on the camera's right, with a tattooed forearm just entering the frame. Macro-level sharpness on the soft brushed surface. CRITICAL: absolutely no text, no letters, no logos, no labels, no brand tags visible, no watermark, no graphic overlays, no icons. Plain garment exactly as described, correct anatomy, five fingers per hand.</t>
        </is>
      </c>
      <c r="F44" s="11" t="inlineStr">
        <is>
          <t>A gerar</t>
        </is>
      </c>
    </row>
    <row r="45" ht="300" customHeight="1">
      <c r="A45" s="10" t="inlineStr">
        <is>
          <t>P09</t>
        </is>
      </c>
      <c r="B45" s="10" t="inlineStr">
        <is>
          <t>F3 — Mockup de personalização (versão HMZT)</t>
        </is>
      </c>
      <c r="C45" s="10" t="inlineStr">
        <is>
          <t>3ª foto — no original é a arte promocional do fornecedor sobre peça off-white em modelo negro; aqui vira base lisa para arte HMZT</t>
        </is>
      </c>
      <c r="D45" s="10" t="inlineStr">
        <is>
          <t>Modelo D · Cor: `off-white` · Formato: 4:5</t>
        </is>
      </c>
      <c r="E4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young Black man in his early 20s, tall and slim, very short buzzed hair, clean-shaven, neutral calm expression. He wears a regular fit t-shirt in lightweight suedine knit, off-white, soft velvety matte brushed surface, relaxed straight fit, set-in shoulders, straight short sleeves ending mid-bicep, medium ribbed crew neck, straight hem at the hip, tucked out, paired with black trousers. Fabric and construction: lightweight suedine knit — soft and fluid, it drapes with gentle relaxed folds and moves easily with the body. The brushed velvety surface is matte with a faint soft nap, absorbing light with no shine. Medium ribbed collar lying flat; reinforced tonal seams; straight sleeves with clean hems; pre-shrunk fabric keeping a neat regular shape. Movement: light and airy — where the hand pulls the sleeve, soft rounded folds form around the fingers. Fit on the model (size M on a 1.84 m, 84 kg man): body length 72 cm ending at the hip, chest width 54 cm giving 2–4 cm of relaxed ease, shoulder width 46 cm with the shoulder seam sitting exactly on the shoulder point, sleeve length 18 cm ending mid-bicep. Frontal view, both hands in the pockets of black trousers, looking at the camera, torso square to the lens so the whole front panel is flat and unobstructed for compositing a print later. The t-shirt is slightly relaxed with dropped shoulders. Framing from the head to upper thigh. CRITICAL: absolutely no text, no letters, no logos, no labels, no brand tags visible, no watermark, no graphic overlays, no icons. Plain garment exactly as described, correct anatomy, five fingers per hand.</t>
        </is>
      </c>
      <c r="F45" s="11" t="inlineStr">
        <is>
          <t>A gerar</t>
        </is>
      </c>
    </row>
    <row r="46" ht="300" customHeight="1">
      <c r="A46" s="10" t="inlineStr">
        <is>
          <t>P10</t>
        </is>
      </c>
      <c r="B46" s="10" t="inlineStr">
        <is>
          <t>F1 — Corpo inteiro</t>
        </is>
      </c>
      <c r="C46" s="10" t="inlineStr">
        <is>
          <t>Origem: fotos #1 (cinza), #5 (branco), #9 e #10 (rose gold) e #14 (preto) da galeria — mesma pose de corpo inteiro em 4 cores</t>
        </is>
      </c>
      <c r="D46" s="10" t="inlineStr">
        <is>
          <t>Modelo próprio · Cor: `medium steel gray` · Formato: 4:5</t>
        </is>
      </c>
      <c r="E4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true oversized boxy t-shirt in heavyweight 300gsm suedine knit, medium steel gray, dense matte surface with a soft peach-skin hand, wide square body, strongly dropped shoulders with the seam falling well down the upper arm, wide short sleeves reaching the elbow with a double-stitched hem, bold 2.5 cm ribbed crew neck, straight hem below the hip, fully opaque, tucked out, paired with black cargo shorts with raw frayed hems (full-body shots: chunky gray-and-white knit sneakers). Fabric and construction: heavy 300gsm knit with real weight and a dense, fully matte surface with a very soft peach-skin nap — no sheen at all. The boxy body holds its own square volume: side seams hang straight, the fabric forms only a few broad, soft folds and never clings to the chest or stomach. Wide 2.5 cm ribbed collar, firm and dense, sits flat and frames the neck; shoulder-to-shoulder reinforcement tape; dropped shoulder seam well down the upper arm; sleeves stand as wide tubes ending in a turned double-stitched hem. Movement: slow and weighty — when the arm is raised the sleeve lifts as one thick piece and the body folds in thick rounded bends instead of small wrinkles. Fit on the model (size M on a 1.84 m, 84 kg man; supplier has not published measurements, so proportions follow the photos): the body falls straight and wide, ending several centimeters below the hip over the shorts waistband; the chest is clearly boxy with generous ease; the shoulder seam drops about 6–8 cm down the upper arm; the sleeves reach the elbow. Full-body view, standing with one foot slightly forward as if pausing mid-step, one hand resting near the front pocket of the shorts, the other arm relaxed, looking at the camera. Framing from the head to the feet with a little floor visible, showing the full boxy silhouette over the black cargo shorts and chunky sneakers. CRITICAL: absolutely no text, no letters, no logos, no labels, no brand tags visible, no watermark, no graphic overlays, no icons. Plain garment exactly as described, correct anatomy, five fingers per hand.</t>
        </is>
      </c>
      <c r="F46" s="11" t="inlineStr">
        <is>
          <t>A gerar</t>
        </is>
      </c>
    </row>
    <row r="47" ht="300" customHeight="1">
      <c r="A47" s="10" t="inlineStr">
        <is>
          <t>P10</t>
        </is>
      </c>
      <c r="B47" s="10" t="inlineStr">
        <is>
          <t>F2 — 3/4 meia figura</t>
        </is>
      </c>
      <c r="C47" s="10" t="inlineStr">
        <is>
          <t>Origem: foto #2 da galeria (cinza, leve 3/4, braços soltos, olhar na câmera)</t>
        </is>
      </c>
      <c r="D47" s="10" t="inlineStr">
        <is>
          <t>Modelo próprio · Cor: `medium steel gray` · Formato: 4:5</t>
        </is>
      </c>
      <c r="E4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true oversized boxy t-shirt in heavyweight 300gsm suedine knit, medium steel gray, dense matte surface with a soft peach-skin hand, wide square body, strongly dropped shoulders with the seam falling well down the upper arm, wide short sleeves reaching the elbow with a double-stitched hem, bold 2.5 cm ribbed crew neck, straight hem below the hip, fully opaque, tucked out, paired with black cargo shorts with raw frayed hems (full-body shots: chunky gray-and-white knit sneakers). Fabric and construction: heavy 300gsm knit with real weight and a dense, fully matte surface with a very soft peach-skin nap — no sheen at all. The boxy body holds its own square volume: side seams hang straight, the fabric forms only a few broad, soft folds and never clings to the chest or stomach. Wide 2.5 cm ribbed collar, firm and dense, sits flat and frames the neck; shoulder-to-shoulder reinforcement tape; dropped shoulder seam well down the upper arm; sleeves stand as wide tubes ending in a turned double-stitched hem. Movement: slow and weighty — when the arm is raised the sleeve lifts as one thick piece and the body folds in thick rounded bends instead of small wrinkles. Fit on the model (size M on a 1.84 m, 84 kg man; supplier has not published measurements, so proportions follow the photos): the body falls straight and wide, ending several centimeters below the hip over the shorts waistband; the chest is clearly boxy with generous ease; the shoulder seam drops about 6–8 cm down the upper arm; the sleeves reach the elbow. Slight three-quarter view, body turned a little to the camera's right, head facing the camera and eyes looking straight into the lens, both arms relaxed at the sides, stacked beaded and leather bracelets on the left wrist. Framing from the head to the hip, showing the strongly dropped shoulder. CRITICAL: absolutely no text, no letters, no logos, no labels, no brand tags visible, no watermark, no graphic overlays, no icons. Plain garment exactly as described, correct anatomy, five fingers per hand.</t>
        </is>
      </c>
      <c r="F47" s="11" t="inlineStr">
        <is>
          <t>A gerar</t>
        </is>
      </c>
    </row>
    <row r="48" ht="300" customHeight="1">
      <c r="A48" s="10" t="inlineStr">
        <is>
          <t>P10</t>
        </is>
      </c>
      <c r="B48" s="10" t="inlineStr">
        <is>
          <t>F3 — Detalhe gola e ombro</t>
        </is>
      </c>
      <c r="C48" s="10" t="inlineStr">
        <is>
          <t>Origem: fotos #3 (cinza), #8 (branco) e #13 (rose gold) da galeria (close da gola larga e do ombro caído)</t>
        </is>
      </c>
      <c r="D48" s="10" t="inlineStr">
        <is>
          <t>Modelo próprio · Cor: `medium steel gray` · Formato: 4:5</t>
        </is>
      </c>
      <c r="E4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true oversized boxy t-shirt in heavyweight 300gsm suedine knit, medium steel gray, dense matte surface with a soft peach-skin hand, wide square body, strongly dropped shoulders with the seam falling well down the upper arm, wide short sleeves reaching the elbow with a double-stitched hem, bold 2.5 cm ribbed crew neck, straight hem below the hip, fully opaque, tucked out, paired with black cargo shorts with raw frayed hems (full-body shots: chunky gray-and-white knit sneakers). Fabric and construction: heavy 300gsm knit with real weight and a dense, fully matte surface with a very soft peach-skin nap — no sheen at all. The boxy body holds its own square volume: side seams hang straight, the fabric forms only a few broad, soft folds and never clings to the chest or stomach. Wide 2.5 cm ribbed collar, firm and dense, sits flat and frames the neck; shoulder-to-shoulder reinforcement tape; dropped shoulder seam well down the upper arm; sleeves stand as wide tubes ending in a turned double-stitched hem. Movement: slow and weighty — when the arm is raised the sleeve lifts as one thick piece and the body folds in thick rounded bends instead of small wrinkles. Fit on the model (size M on a 1.84 m, 84 kg man; supplier has not published measurements, so proportions follow the photos): the body falls straight and wide, ending several centimeters below the hip over the shorts waistband; the chest is clearly boxy with generous ease; the shoulder seam drops about 6–8 cm down the upper arm; the sleeves reach the elbow. Tight detail crop from the lips and full beard down to the mid chest, off-center to the camera's left, showing the wide dense ribbed collar, the dropped shoulder seam on the upper arm and the wide sleeve with its double-stitched hem on the camera's left side, tattooed forearm just entering the frame. Macro-level sharpness on the matte peach-skin surface. CRITICAL: absolutely no text, no letters, no logos, no labels, no brand tags visible, no watermark, no graphic overlays, no icons. Plain garment exactly as described, correct anatomy, five fingers per hand.</t>
        </is>
      </c>
      <c r="F48" s="11" t="inlineStr">
        <is>
          <t>A gerar</t>
        </is>
      </c>
    </row>
    <row r="49" ht="300" customHeight="1">
      <c r="A49" s="10" t="inlineStr">
        <is>
          <t>P10</t>
        </is>
      </c>
      <c r="B49" s="10" t="inlineStr">
        <is>
          <t>F4 — Mão na nuca</t>
        </is>
      </c>
      <c r="C49" s="10" t="inlineStr">
        <is>
          <t>Origem: fotos #4 (cinza), #7 (branco) e #11 (rose gold) da galeria</t>
        </is>
      </c>
      <c r="D49" s="10" t="inlineStr">
        <is>
          <t>Modelo próprio · Cor: `medium steel gray` · Formato: 4:5</t>
        </is>
      </c>
      <c r="E4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true oversized boxy t-shirt in heavyweight 300gsm suedine knit, medium steel gray, dense matte surface with a soft peach-skin hand, wide square body, strongly dropped shoulders with the seam falling well down the upper arm, wide short sleeves reaching the elbow with a double-stitched hem, bold 2.5 cm ribbed crew neck, straight hem below the hip, fully opaque, tucked out, paired with black cargo shorts with raw frayed hems (full-body shots: chunky gray-and-white knit sneakers). Fabric and construction: heavy 300gsm knit with real weight and a dense, fully matte surface with a very soft peach-skin nap — no sheen at all. The boxy body holds its own square volume: side seams hang straight, the fabric forms only a few broad, soft folds and never clings to the chest or stomach. Wide 2.5 cm ribbed collar, firm and dense, sits flat and frames the neck; shoulder-to-shoulder reinforcement tape; dropped shoulder seam well down the upper arm; sleeves stand as wide tubes ending in a turned double-stitched hem. Movement: slow and weighty — when the arm is raised the sleeve lifts as one thick piece and the body folds in thick rounded bends instead of small wrinkles. Fit on the model (size M on a 1.84 m, 84 kg man; supplier has not published measurements, so proportions follow the photos): the body falls straight and wide, ending several centimeters below the hip over the shorts waistband; the chest is clearly boxy with generous ease; the shoulder seam drops about 6–8 cm down the upper arm; the sleeves reach the elbow. Near-frontal view, one hand raised to the back of the neck with the tattooed forearm across the upper chest, head tilted to the side, looking at the camera. The raised arm lifts the wide sleeve showing the fabric weight. Framing from the head to the hip. CRITICAL: absolutely no text, no letters, no logos, no labels, no brand tags visible, no watermark, no graphic overlays, no icons. Plain garment exactly as described, correct anatomy, five fingers per hand.</t>
        </is>
      </c>
      <c r="F49" s="11" t="inlineStr">
        <is>
          <t>A gerar</t>
        </is>
      </c>
    </row>
    <row r="50" ht="300" customHeight="1">
      <c r="A50" s="10" t="inlineStr">
        <is>
          <t>P10</t>
        </is>
      </c>
      <c r="B50" s="10" t="inlineStr">
        <is>
          <t>F5 — Mãos juntas na cintura</t>
        </is>
      </c>
      <c r="C50" s="10" t="inlineStr">
        <is>
          <t>Origem: foto #6 da galeria (branco, mãos juntas à frente, olhar para o lado)</t>
        </is>
      </c>
      <c r="D50" s="10" t="inlineStr">
        <is>
          <t>Modelo próprio · Cor: `medium steel gray` · Formato: 4:5</t>
        </is>
      </c>
      <c r="E5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true oversized boxy t-shirt in heavyweight 300gsm suedine knit, medium steel gray, dense matte surface with a soft peach-skin hand, wide square body, strongly dropped shoulders with the seam falling well down the upper arm, wide short sleeves reaching the elbow with a double-stitched hem, bold 2.5 cm ribbed crew neck, straight hem below the hip, fully opaque, tucked out, paired with black cargo shorts with raw frayed hems (full-body shots: chunky gray-and-white knit sneakers). Fabric and construction: heavy 300gsm knit with real weight and a dense, fully matte surface with a very soft peach-skin nap — no sheen at all. The boxy body holds its own square volume: side seams hang straight, the fabric forms only a few broad, soft folds and never clings to the chest or stomach. Wide 2.5 cm ribbed collar, firm and dense, sits flat and frames the neck; shoulder-to-shoulder reinforcement tape; dropped shoulder seam well down the upper arm; sleeves stand as wide tubes ending in a turned double-stitched hem. Movement: slow and weighty — when the arm is raised the sleeve lifts as one thick piece and the body folds in thick rounded bends instead of small wrinkles. Fit on the model (size M on a 1.84 m, 84 kg man; supplier has not published measurements, so proportions follow the photos): the body falls straight and wide, ending several centimeters below the hip over the shorts waistband; the chest is clearly boxy with generous ease; the shoulder seam drops about 6–8 cm down the upper arm; the sleeves reach the elbow. Frontal view, both hands brought together in front of the waist as if adjusting a ring, head turned slightly with eyes looking off-camera to the camera's right. Framing from the head to the hip. CRITICAL: absolutely no text, no letters, no logos, no labels, no brand tags visible, no watermark, no graphic overlays, no icons. Plain garment exactly as described, correct anatomy, five fingers per hand.</t>
        </is>
      </c>
      <c r="F50" s="11" t="inlineStr">
        <is>
          <t>A gerar</t>
        </is>
      </c>
    </row>
    <row r="51" ht="300" customHeight="1">
      <c r="A51" s="10" t="inlineStr">
        <is>
          <t>P10</t>
        </is>
      </c>
      <c r="B51" s="10" t="inlineStr">
        <is>
          <t>F6 — Frontal meia figura</t>
        </is>
      </c>
      <c r="C51" s="10" t="inlineStr">
        <is>
          <t>Origem: fotos #12 (rose gold) e #15 (preto) da galeria (frontal, braços soltos, olhar direto)</t>
        </is>
      </c>
      <c r="D51" s="10" t="inlineStr">
        <is>
          <t>Modelo próprio · Cor: `medium steel gray` · Formato: 4:5</t>
        </is>
      </c>
      <c r="E5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true oversized boxy t-shirt in heavyweight 300gsm suedine knit, medium steel gray, dense matte surface with a soft peach-skin hand, wide square body, strongly dropped shoulders with the seam falling well down the upper arm, wide short sleeves reaching the elbow with a double-stitched hem, bold 2.5 cm ribbed crew neck, straight hem below the hip, fully opaque, tucked out, paired with black cargo shorts with raw frayed hems (full-body shots: chunky gray-and-white knit sneakers). Fabric and construction: heavy 300gsm knit with real weight and a dense, fully matte surface with a very soft peach-skin nap — no sheen at all. The boxy body holds its own square volume: side seams hang straight, the fabric forms only a few broad, soft folds and never clings to the chest or stomach. Wide 2.5 cm ribbed collar, firm and dense, sits flat and frames the neck; shoulder-to-shoulder reinforcement tape; dropped shoulder seam well down the upper arm; sleeves stand as wide tubes ending in a turned double-stitched hem. Movement: slow and weighty — when the arm is raised the sleeve lifts as one thick piece and the body folds in thick rounded bends instead of small wrinkles. Fit on the model (size M on a 1.84 m, 84 kg man; supplier has not published measurements, so proportions follow the photos): the body falls straight and wide, ending several centimeters below the hip over the shorts waistband; the chest is clearly boxy with generous ease; the shoulder seam drops about 6–8 cm down the upper arm; the sleeves reach the elbow. Frontal view, standing straight with arms relaxed at the sides, looking straight into the camera, torso square to the lens. Framing from the head to the hip. CRITICAL: absolutely no text, no letters, no logos, no labels, no brand tags visible, no watermark, no graphic overlays, no icons. Plain garment exactly as described, correct anatomy, five fingers per hand.</t>
        </is>
      </c>
      <c r="F51" s="11" t="inlineStr">
        <is>
          <t>A gerar</t>
        </is>
      </c>
    </row>
    <row r="52" ht="300" customHeight="1">
      <c r="A52" s="10" t="inlineStr">
        <is>
          <t>P11</t>
        </is>
      </c>
      <c r="B52" s="10" t="inlineStr">
        <is>
          <t>F1 — Frontal olhar lateral</t>
        </is>
      </c>
      <c r="C52" s="10" t="inlineStr">
        <is>
          <t>Origem: fotos #1 (cinza claro), #11 (bege) e #15 (branco) da galeria (frontal com leve giro, braços soltos, olhar para fora)</t>
        </is>
      </c>
      <c r="D52" s="10" t="inlineStr">
        <is>
          <t>Modelo próprio · Cor: `light heather gray melange` · Formato: 4:5</t>
        </is>
      </c>
      <c r="E5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regular fit t-shirt in lightweight 160gsm cotton-polyester single jersey, light heather gray melange, smooth matte surface, set-in shoulders, straight short sleeves ending mid-bicep with a double-stitched hem, clean narrow 2 cm 1x1 ribbed crew neck attached without visible topstitching, straight double-stitched hem at the hip, tucked out, paired with light-wash distressed blue jeans with small rips. Fabric and construction: light 160gsm cotton-polyester blend jersey, thin and smooth with a matte, slightly dry synthetic-blend hand; in light gray it shows a fine heathered melange. The fabric drapes lightly and follows the body, forming many small soft wrinkles at the waist and under the arms, and it resists deep creasing. Clean narrow 1x1 ribbed collar sewn without external topstitching, lying flat and round; shoulder-to-shoulder tape; set-in shoulder seam exactly on the shoulder point; double-needle hems at sleeves and body. Movement: light and quick — the fabric shifts easily with the pose, sleeves ride up a little when the arm is raised, and pinching the hem produces thin crisp folds. Fit on the model (size M on a 1.84 m, 84 kg man): body length 72 cm ending at the hip, flat chest width 54 cm giving a close regular fit that lightly follows the chest without being tight, shoulder width 46 cm with the seam on the shoulder point, sleeve length 18 cm ending mid-bicep. Frontal view with a slight turn, arms relaxed at the sides, head turned and eyes looking down and off-camera to the camera's left. A dark bead bracelet on the left wrist. Framing from the head to upper thigh. CRITICAL: absolutely no text, no letters, no logos, no labels, no brand tags visible, no watermark, no graphic overlays, no icons. Plain garment exactly as described, correct anatomy, five fingers per hand.</t>
        </is>
      </c>
      <c r="F52" s="11" t="inlineStr">
        <is>
          <t>A gerar</t>
        </is>
      </c>
    </row>
    <row r="53" ht="300" customHeight="1">
      <c r="A53" s="10" t="inlineStr">
        <is>
          <t>P11</t>
        </is>
      </c>
      <c r="B53" s="10" t="inlineStr">
        <is>
          <t>F2 — Mão na nuca</t>
        </is>
      </c>
      <c r="C53" s="10" t="inlineStr">
        <is>
          <t>Origem: fotos #2 (cinza claro), #5 (preto) e #10 (azul) da galeria</t>
        </is>
      </c>
      <c r="D53" s="10" t="inlineStr">
        <is>
          <t>Modelo próprio · Cor: `light heather gray melange` · Formato: 4:5</t>
        </is>
      </c>
      <c r="E5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regular fit t-shirt in lightweight 160gsm cotton-polyester single jersey, light heather gray melange, smooth matte surface, set-in shoulders, straight short sleeves ending mid-bicep with a double-stitched hem, clean narrow 2 cm 1x1 ribbed crew neck attached without visible topstitching, straight double-stitched hem at the hip, tucked out, paired with light-wash distressed blue jeans with small rips. Fabric and construction: light 160gsm cotton-polyester blend jersey, thin and smooth with a matte, slightly dry synthetic-blend hand; in light gray it shows a fine heathered melange. The fabric drapes lightly and follows the body, forming many small soft wrinkles at the waist and under the arms, and it resists deep creasing. Clean narrow 1x1 ribbed collar sewn without external topstitching, lying flat and round; shoulder-to-shoulder tape; set-in shoulder seam exactly on the shoulder point; double-needle hems at sleeves and body. Movement: light and quick — the fabric shifts easily with the pose, sleeves ride up a little when the arm is raised, and pinching the hem produces thin crisp folds. Fit on the model (size M on a 1.84 m, 84 kg man): body length 72 cm ending at the hip, flat chest width 54 cm giving a close regular fit that lightly follows the chest without being tight, shoulder width 46 cm with the seam on the shoulder point, sleeve length 18 cm ending mid-bicep. Near-frontal view, one hand raised to the back of the neck with the tattooed forearm across the upper chest, head tilted, looking at the camera. The raised arm lifts the sleeve and shows the light drape. Framing from the head to upper thigh. CRITICAL: absolutely no text, no letters, no logos, no labels, no brand tags visible, no watermark, no graphic overlays, no icons. Plain garment exactly as described, correct anatomy, five fingers per hand.</t>
        </is>
      </c>
      <c r="F53" s="11" t="inlineStr">
        <is>
          <t>A gerar</t>
        </is>
      </c>
    </row>
    <row r="54" ht="300" customHeight="1">
      <c r="A54" s="10" t="inlineStr">
        <is>
          <t>P11</t>
        </is>
      </c>
      <c r="B54" s="10" t="inlineStr">
        <is>
          <t>F3 — Mãos na barra</t>
        </is>
      </c>
      <c r="C54" s="10" t="inlineStr">
        <is>
          <t>Origem: fotos #3 (cinza claro, olhar direto) e #8 (azul, olhar para o lado) da galeria</t>
        </is>
      </c>
      <c r="D54" s="10" t="inlineStr">
        <is>
          <t>Modelo próprio · Cor: `light heather gray melange` · Formato: 4:5</t>
        </is>
      </c>
      <c r="E5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regular fit t-shirt in lightweight 160gsm cotton-polyester single jersey, light heather gray melange, smooth matte surface, set-in shoulders, straight short sleeves ending mid-bicep with a double-stitched hem, clean narrow 2 cm 1x1 ribbed crew neck attached without visible topstitching, straight double-stitched hem at the hip, tucked out, paired with light-wash distressed blue jeans with small rips. Fabric and construction: light 160gsm cotton-polyester blend jersey, thin and smooth with a matte, slightly dry synthetic-blend hand; in light gray it shows a fine heathered melange. The fabric drapes lightly and follows the body, forming many small soft wrinkles at the waist and under the arms, and it resists deep creasing. Clean narrow 1x1 ribbed collar sewn without external topstitching, lying flat and round; shoulder-to-shoulder tape; set-in shoulder seam exactly on the shoulder point; double-needle hems at sleeves and body. Movement: light and quick — the fabric shifts easily with the pose, sleeves ride up a little when the arm is raised, and pinching the hem produces thin crisp folds. Fit on the model (size M on a 1.84 m, 84 kg man): body length 72 cm ending at the hip, flat chest width 54 cm giving a close regular fit that lightly follows the chest without being tight, shoulder width 46 cm with the seam on the shoulder point, sleeve length 18 cm ending mid-bicep. Frontal view, both hands lightly pinching and pulling the front hem down at the sides, looking straight into the camera. Framing from the head to upper thigh. CRITICAL: absolutely no text, no letters, no logos, no labels, no brand tags visible, no watermark, no graphic overlays, no icons. Plain garment exactly as described, correct anatomy, five fingers per hand.</t>
        </is>
      </c>
      <c r="F54" s="11" t="inlineStr">
        <is>
          <t>A gerar</t>
        </is>
      </c>
    </row>
    <row r="55" ht="300" customHeight="1">
      <c r="A55" s="10" t="inlineStr">
        <is>
          <t>P11</t>
        </is>
      </c>
      <c r="B55" s="10" t="inlineStr">
        <is>
          <t>F4 — Detalhe gola desagulhada</t>
        </is>
      </c>
      <c r="C55" s="10" t="inlineStr">
        <is>
          <t>Origem: fotos #4 (cinza claro), #6 (preto), #9 (azul) e #14 (bege) da galeria</t>
        </is>
      </c>
      <c r="D55" s="10" t="inlineStr">
        <is>
          <t>Modelo próprio · Cor: `light heather gray melange` · Formato: 4:5</t>
        </is>
      </c>
      <c r="E5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regular fit t-shirt in lightweight 160gsm cotton-polyester single jersey, light heather gray melange, smooth matte surface, set-in shoulders, straight short sleeves ending mid-bicep with a double-stitched hem, clean narrow 2 cm 1x1 ribbed crew neck attached without visible topstitching, straight double-stitched hem at the hip, tucked out, paired with light-wash distressed blue jeans with small rips. Fabric and construction: light 160gsm cotton-polyester blend jersey, thin and smooth with a matte, slightly dry synthetic-blend hand; in light gray it shows a fine heathered melange. The fabric drapes lightly and follows the body, forming many small soft wrinkles at the waist and under the arms, and it resists deep creasing. Clean narrow 1x1 ribbed collar sewn without external topstitching, lying flat and round; shoulder-to-shoulder tape; set-in shoulder seam exactly on the shoulder point; double-needle hems at sleeves and body. Movement: light and quick — the fabric shifts easily with the pose, sleeves ride up a little when the arm is raised, and pinching the hem produces thin crisp folds. Fit on the model (size M on a 1.84 m, 84 kg man): body length 72 cm ending at the hip, flat chest width 54 cm giving a close regular fit that lightly follows the chest without being tight, shoulder width 46 cm with the seam on the shoulder point, sleeve length 18 cm ending mid-bicep. Tight detail crop from the lips and full beard down to the mid chest, off-center, showing the clean narrow collar without topstitching, the set-in shoulder seam and the double-stitched sleeve hem, tattooed forearm entering the frame. Macro-level sharpness on the fine jersey texture. CRITICAL: absolutely no text, no letters, no logos, no labels, no brand tags visible, no watermark, no graphic overlays, no icons. Plain garment exactly as described, correct anatomy, five fingers per hand.</t>
        </is>
      </c>
      <c r="F55" s="11" t="inlineStr">
        <is>
          <t>A gerar</t>
        </is>
      </c>
    </row>
    <row r="56" ht="300" customHeight="1">
      <c r="A56" s="10" t="inlineStr">
        <is>
          <t>P11</t>
        </is>
      </c>
      <c r="B56" s="10" t="inlineStr">
        <is>
          <t>F5 — Frontal olhar direto</t>
        </is>
      </c>
      <c r="C56" s="10" t="inlineStr">
        <is>
          <t>Origem: fotos #7 (preto) e #13 (bege) da galeria (frontal, braços soltos, olhar na câmera)</t>
        </is>
      </c>
      <c r="D56" s="10" t="inlineStr">
        <is>
          <t>Modelo próprio · Cor: `light heather gray melange` · Formato: 4:5</t>
        </is>
      </c>
      <c r="E5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regular fit t-shirt in lightweight 160gsm cotton-polyester single jersey, light heather gray melange, smooth matte surface, set-in shoulders, straight short sleeves ending mid-bicep with a double-stitched hem, clean narrow 2 cm 1x1 ribbed crew neck attached without visible topstitching, straight double-stitched hem at the hip, tucked out, paired with light-wash distressed blue jeans with small rips. Fabric and construction: light 160gsm cotton-polyester blend jersey, thin and smooth with a matte, slightly dry synthetic-blend hand; in light gray it shows a fine heathered melange. The fabric drapes lightly and follows the body, forming many small soft wrinkles at the waist and under the arms, and it resists deep creasing. Clean narrow 1x1 ribbed collar sewn without external topstitching, lying flat and round; shoulder-to-shoulder tape; set-in shoulder seam exactly on the shoulder point; double-needle hems at sleeves and body. Movement: light and quick — the fabric shifts easily with the pose, sleeves ride up a little when the arm is raised, and pinching the hem produces thin crisp folds. Fit on the model (size M on a 1.84 m, 84 kg man): body length 72 cm ending at the hip, flat chest width 54 cm giving a close regular fit that lightly follows the chest without being tight, shoulder width 46 cm with the seam on the shoulder point, sleeve length 18 cm ending mid-bicep. Frontal view, standing straight with arms relaxed at the sides, looking straight into the camera, torso square to the lens. Framing from the head to upper thigh. CRITICAL: absolutely no text, no letters, no logos, no labels, no brand tags visible, no watermark, no graphic overlays, no icons. Plain garment exactly as described, correct anatomy, five fingers per hand.</t>
        </is>
      </c>
      <c r="F56" s="11" t="inlineStr">
        <is>
          <t>A gerar</t>
        </is>
      </c>
    </row>
    <row r="57" ht="300" customHeight="1">
      <c r="A57" s="10" t="inlineStr">
        <is>
          <t>P11</t>
        </is>
      </c>
      <c r="B57" s="10" t="inlineStr">
        <is>
          <t>F6 — Olhar para baixo, mão na barra</t>
        </is>
      </c>
      <c r="C57" s="10" t="inlineStr">
        <is>
          <t>Origem: foto #12 da galeria (bege, cabeça baixa, uma mão na barra)</t>
        </is>
      </c>
      <c r="D57" s="10" t="inlineStr">
        <is>
          <t>Modelo próprio · Cor: `light heather gray melange` · Formato: 4:5</t>
        </is>
      </c>
      <c r="E5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early-to-mid 30s, athletic build, shoulder-length dark brown wavy hair with natural volume, full dark groomed beard with moustache, calm confident expression, both forearms covered with dense full-sleeve tattoos (generic ornamental and figurative designs, no readable lettering). He wears a regular fit t-shirt in lightweight 160gsm cotton-polyester single jersey, light heather gray melange, smooth matte surface, set-in shoulders, straight short sleeves ending mid-bicep with a double-stitched hem, clean narrow 2 cm 1x1 ribbed crew neck attached without visible topstitching, straight double-stitched hem at the hip, tucked out, paired with light-wash distressed blue jeans with small rips. Fabric and construction: light 160gsm cotton-polyester blend jersey, thin and smooth with a matte, slightly dry synthetic-blend hand; in light gray it shows a fine heathered melange. The fabric drapes lightly and follows the body, forming many small soft wrinkles at the waist and under the arms, and it resists deep creasing. Clean narrow 1x1 ribbed collar sewn without external topstitching, lying flat and round; shoulder-to-shoulder tape; set-in shoulder seam exactly on the shoulder point; double-needle hems at sleeves and body. Movement: light and quick — the fabric shifts easily with the pose, sleeves ride up a little when the arm is raised, and pinching the hem produces thin crisp folds. Fit on the model (size M on a 1.84 m, 84 kg man): body length 72 cm ending at the hip, flat chest width 54 cm giving a close regular fit that lightly follows the chest without being tight, shoulder width 46 cm with the seam on the shoulder point, sleeve length 18 cm ending mid-bicep. Slight three-quarter view, head bowed with eyes looking down to the floor, hair falling forward, one hand pinching the side hem, the other arm relaxed. Framing from the head to upper thigh. CRITICAL: absolutely no text, no letters, no logos, no labels, no brand tags visible, no watermark, no graphic overlays, no icons. Plain garment exactly as described, correct anatomy, five fingers per hand.</t>
        </is>
      </c>
      <c r="F57" s="11" t="inlineStr">
        <is>
          <t>A gerar</t>
        </is>
      </c>
    </row>
    <row r="58" ht="300" customHeight="1">
      <c r="A58" s="10" t="inlineStr">
        <is>
          <t>P12</t>
        </is>
      </c>
      <c r="B58" s="10" t="inlineStr">
        <is>
          <t>F1 — 3/4 olhar lateral, mão na barra</t>
        </is>
      </c>
      <c r="C58" s="10" t="inlineStr">
        <is>
          <t>Origem: fotos #1 (grafite), #6 (verde militar) e #11 (caramelo) da galeria</t>
        </is>
      </c>
      <c r="D58" s="10" t="inlineStr">
        <is>
          <t>Modelo C · Cor: `dark graphite charcoal gray with a subtle cool violet undertone` · Formato: 4:5</t>
        </is>
      </c>
      <c r="E5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dense 280gsm 100% cotton compact jersey, dark graphite charcoal gray with a subtle cool violet undertone, matte surface with a tight, very slightly grainy knit texture, set-in shoulders, straight short sleeves ending mid-bicep with a double-stitched hem, firm medium 2x1 ribbed crew neck sitting close to the neck, straight hem at the hip, fully opaque, tucked out, paired with medium-wash blue jeans (fotos #4 e #8: black jeans). Fabric and construction: heavy 280gsm 100% cotton jersey knitted from thick compact 26/1 combed yarn — dense, firm and fully matte, with a tight, slightly grainy surface and no sheen. The structured body holds its shape: side seams hang straight and the fabric forms only a few broad folds; it follows the muscular shoulders and chest without clinging. Firm 2x1 ribbed collar keeps a clean round shape close to the neck; reinforced seams; set-in shoulder seam exactly on the shoulder point; sleeves stand as clean tubes ending in a visible double-stitched hem. Movement: weighty and stable — where fingers pinch the hem or sleeve, the fabric bends in a thick soft fold rather than thin wrinkles. Fit on the model (size M on a 1.84 m, 84 kg man): body length 72 cm ending at the hip, flat chest width 54 cm giving a regular fit that follows the muscular chest with slight ease, shoulder width 46 cm with the seam on the shoulder point, sleeve length 18 cm ending mid-bicep and hugging the arm lightly. Three-quarter view, body turned slightly to the camera's left, head turned with eyes looking off-camera to the camera's right, one hand pinching the front hem near the waist, the other arm relaxed. Framing from the head to upper thigh. CRITICAL: absolutely no text, no letters, no logos, no labels, no brand tags visible, no watermark, no graphic overlays, no icons. Plain garment exactly as described, correct anatomy, five fingers per hand.</t>
        </is>
      </c>
      <c r="F58" s="11" t="inlineStr">
        <is>
          <t>A gerar</t>
        </is>
      </c>
    </row>
    <row r="59" ht="300" customHeight="1">
      <c r="A59" s="10" t="inlineStr">
        <is>
          <t>P12</t>
        </is>
      </c>
      <c r="B59" s="10" t="inlineStr">
        <is>
          <t>F2 — Detalhe gola e ombro</t>
        </is>
      </c>
      <c r="C59" s="10" t="inlineStr">
        <is>
          <t>Origem: fotos #2 (grafite), #7 (verde militar), #9 e #15 (off white) e #12 (caramelo) da galeria</t>
        </is>
      </c>
      <c r="D59" s="10" t="inlineStr">
        <is>
          <t>Modelo C · Cor: `dark graphite charcoal gray with a subtle cool violet undertone` · Formato: 4:5</t>
        </is>
      </c>
      <c r="E5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dense 280gsm 100% cotton compact jersey, dark graphite charcoal gray with a subtle cool violet undertone, matte surface with a tight, very slightly grainy knit texture, set-in shoulders, straight short sleeves ending mid-bicep with a double-stitched hem, firm medium 2x1 ribbed crew neck sitting close to the neck, straight hem at the hip, fully opaque, tucked out, paired with medium-wash blue jeans (fotos #4 e #8: black jeans). Fabric and construction: heavy 280gsm 100% cotton jersey knitted from thick compact 26/1 combed yarn — dense, firm and fully matte, with a tight, slightly grainy surface and no sheen. The structured body holds its shape: side seams hang straight and the fabric forms only a few broad folds; it follows the muscular shoulders and chest without clinging. Firm 2x1 ribbed collar keeps a clean round shape close to the neck; reinforced seams; set-in shoulder seam exactly on the shoulder point; sleeves stand as clean tubes ending in a visible double-stitched hem. Movement: weighty and stable — where fingers pinch the hem or sleeve, the fabric bends in a thick soft fold rather than thin wrinkles. Fit on the model (size M on a 1.84 m, 84 kg man): body length 72 cm ending at the hip, flat chest width 54 cm giving a regular fit that follows the muscular chest with slight ease, shoulder width 46 cm with the seam on the shoulder point, sleeve length 18 cm ending mid-bicep and hugging the arm lightly. Tight detail crop from the nose and moustache down to the mid chest, off-center, showing the firm ribbed collar, the shoulder seam on the shoulder point and the sleeve with its double-stitched hem. Macro-level sharpness on the dense slightly grainy knit. CRITICAL: absolutely no text, no letters, no logos, no labels, no brand tags visible, no watermark, no graphic overlays, no icons. Plain garment exactly as described, correct anatomy, five fingers per hand.</t>
        </is>
      </c>
      <c r="F59" s="11" t="inlineStr">
        <is>
          <t>A gerar</t>
        </is>
      </c>
    </row>
    <row r="60" ht="300" customHeight="1">
      <c r="A60" s="10" t="inlineStr">
        <is>
          <t>P12</t>
        </is>
      </c>
      <c r="B60" s="10" t="inlineStr">
        <is>
          <t>F3 — Detalhe barra da manga</t>
        </is>
      </c>
      <c r="C60" s="10" t="inlineStr">
        <is>
          <t>Origem: foto #3 da galeria (grafite, dedos pinçando a barra da manga)</t>
        </is>
      </c>
      <c r="D60" s="10" t="inlineStr">
        <is>
          <t>Modelo C · Cor: `dark graphite charcoal gray with a subtle cool violet undertone` · Formato: 4:5</t>
        </is>
      </c>
      <c r="E6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dense 280gsm 100% cotton compact jersey, dark graphite charcoal gray with a subtle cool violet undertone, matte surface with a tight, very slightly grainy knit texture, set-in shoulders, straight short sleeves ending mid-bicep with a double-stitched hem, firm medium 2x1 ribbed crew neck sitting close to the neck, straight hem at the hip, fully opaque, tucked out, paired with medium-wash blue jeans (fotos #4 e #8: black jeans). Fabric and construction: heavy 280gsm 100% cotton jersey knitted from thick compact 26/1 combed yarn — dense, firm and fully matte, with a tight, slightly grainy surface and no sheen. The structured body holds its shape: side seams hang straight and the fabric forms only a few broad folds; it follows the muscular shoulders and chest without clinging. Firm 2x1 ribbed collar keeps a clean round shape close to the neck; reinforced seams; set-in shoulder seam exactly on the shoulder point; sleeves stand as clean tubes ending in a visible double-stitched hem. Movement: weighty and stable — where fingers pinch the hem or sleeve, the fabric bends in a thick soft fold rather than thin wrinkles. Fit on the model (size M on a 1.84 m, 84 kg man): body length 72 cm ending at the hip, flat chest width 54 cm giving a regular fit that follows the muscular chest with slight ease, shoulder width 46 cm with the seam on the shoulder point, sleeve length 18 cm ending mid-bicep and hugging the arm lightly. Macro detail crop of the upper arm: the sleeve fills the frame from shoulder to hem, the fingers of the other hand pinch and slightly lift the sleeve hem, clearly showing the double-stitched hem and the thickness of the fabric edge. Shallow background of the studio wall. CRITICAL: absolutely no text, no letters, no logos, no labels, no brand tags visible, no watermark, no graphic overlays, no icons. Plain garment exactly as described, correct anatomy, five fingers per hand.</t>
        </is>
      </c>
      <c r="F60" s="11" t="inlineStr">
        <is>
          <t>A gerar</t>
        </is>
      </c>
    </row>
    <row r="61" ht="300" customHeight="1">
      <c r="A61" s="10" t="inlineStr">
        <is>
          <t>P12</t>
        </is>
      </c>
      <c r="B61" s="10" t="inlineStr">
        <is>
          <t>F4 — Frontal calça preta</t>
        </is>
      </c>
      <c r="C61" s="10" t="inlineStr">
        <is>
          <t>Origem: fotos #4 (grafite) e #8 (off white) da galeria (frontal, braços soltos, calça preta)</t>
        </is>
      </c>
      <c r="D61" s="10" t="inlineStr">
        <is>
          <t>Modelo C · Cor: `dark graphite charcoal gray with a subtle cool violet undertone` · Formato: 4:5</t>
        </is>
      </c>
      <c r="E6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dense 280gsm 100% cotton compact jersey, dark graphite charcoal gray with a subtle cool violet undertone, matte surface with a tight, very slightly grainy knit texture, set-in shoulders, straight short sleeves ending mid-bicep with a double-stitched hem, firm medium 2x1 ribbed crew neck sitting close to the neck, straight hem at the hip, fully opaque, tucked out, paired with medium-wash blue jeans (fotos #4 e #8: black jeans). Fabric and construction: heavy 280gsm 100% cotton jersey knitted from thick compact 26/1 combed yarn — dense, firm and fully matte, with a tight, slightly grainy surface and no sheen. The structured body holds its shape: side seams hang straight and the fabric forms only a few broad folds; it follows the muscular shoulders and chest without clinging. Firm 2x1 ribbed collar keeps a clean round shape close to the neck; reinforced seams; set-in shoulder seam exactly on the shoulder point; sleeves stand as clean tubes ending in a visible double-stitched hem. Movement: weighty and stable — where fingers pinch the hem or sleeve, the fabric bends in a thick soft fold rather than thin wrinkles. Fit on the model (size M on a 1.84 m, 84 kg man): body length 72 cm ending at the hip, flat chest width 54 cm giving a regular fit that follows the muscular chest with slight ease, shoulder width 46 cm with the seam on the shoulder point, sleeve length 18 cm ending mid-bicep and hugging the arm lightly. Frontal view, standing straight with arms relaxed at the sides, looking straight into the camera, wearing black jeans instead of blue. Framing from the head to mid-thigh. CRITICAL: absolutely no text, no letters, no logos, no labels, no brand tags visible, no watermark, no graphic overlays, no icons. Plain garment exactly as described, correct anatomy, five fingers per hand.</t>
        </is>
      </c>
      <c r="F61" s="11" t="inlineStr">
        <is>
          <t>A gerar</t>
        </is>
      </c>
    </row>
    <row r="62" ht="300" customHeight="1">
      <c r="A62" s="10" t="inlineStr">
        <is>
          <t>P12</t>
        </is>
      </c>
      <c r="B62" s="10" t="inlineStr">
        <is>
          <t>F5 — Frontal jeans</t>
        </is>
      </c>
      <c r="C62" s="10" t="inlineStr">
        <is>
          <t>Origem: fotos #5 (verde militar) e #14 (off white) da galeria</t>
        </is>
      </c>
      <c r="D62" s="10" t="inlineStr">
        <is>
          <t>Modelo C · Cor: `dark graphite charcoal gray with a subtle cool violet undertone` · Formato: 4:5</t>
        </is>
      </c>
      <c r="E6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dense 280gsm 100% cotton compact jersey, dark graphite charcoal gray with a subtle cool violet undertone, matte surface with a tight, very slightly grainy knit texture, set-in shoulders, straight short sleeves ending mid-bicep with a double-stitched hem, firm medium 2x1 ribbed crew neck sitting close to the neck, straight hem at the hip, fully opaque, tucked out, paired with medium-wash blue jeans (fotos #4 e #8: black jeans). Fabric and construction: heavy 280gsm 100% cotton jersey knitted from thick compact 26/1 combed yarn — dense, firm and fully matte, with a tight, slightly grainy surface and no sheen. The structured body holds its shape: side seams hang straight and the fabric forms only a few broad folds; it follows the muscular shoulders and chest without clinging. Firm 2x1 ribbed collar keeps a clean round shape close to the neck; reinforced seams; set-in shoulder seam exactly on the shoulder point; sleeves stand as clean tubes ending in a visible double-stitched hem. Movement: weighty and stable — where fingers pinch the hem or sleeve, the fabric bends in a thick soft fold rather than thin wrinkles. Fit on the model (size M on a 1.84 m, 84 kg man): body length 72 cm ending at the hip, flat chest width 54 cm giving a regular fit that follows the muscular chest with slight ease, shoulder width 46 cm with the seam on the shoulder point, sleeve length 18 cm ending mid-bicep and hugging the arm lightly. Frontal view, arms relaxed at the sides, looking straight into the camera, chin level. Framing from the head to upper thigh. CRITICAL: absolutely no text, no letters, no logos, no labels, no brand tags visible, no watermark, no graphic overlays, no icons. Plain garment exactly as described, correct anatomy, five fingers per hand.</t>
        </is>
      </c>
      <c r="F62" s="11" t="inlineStr">
        <is>
          <t>A gerar</t>
        </is>
      </c>
    </row>
    <row r="63" ht="300" customHeight="1">
      <c r="A63" s="10" t="inlineStr">
        <is>
          <t>P12</t>
        </is>
      </c>
      <c r="B63" s="10" t="inlineStr">
        <is>
          <t>F6 — Frontal mão na barra</t>
        </is>
      </c>
      <c r="C63" s="10" t="inlineStr">
        <is>
          <t>Origem: fotos #10 (caramelo) e #13 (off white) da galeria</t>
        </is>
      </c>
      <c r="D63" s="10" t="inlineStr">
        <is>
          <t>Modelo C · Cor: `dark graphite charcoal gray with a subtle cool violet undertone` · Formato: 4:5</t>
        </is>
      </c>
      <c r="E6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muscular athletic build with strong arms, short black hair neatly styled up and back, dark moustache and short chin beard, confident neutral expression. He wears a regular fit heavyweight t-shirt in dense 280gsm 100% cotton compact jersey, dark graphite charcoal gray with a subtle cool violet undertone, matte surface with a tight, very slightly grainy knit texture, set-in shoulders, straight short sleeves ending mid-bicep with a double-stitched hem, firm medium 2x1 ribbed crew neck sitting close to the neck, straight hem at the hip, fully opaque, tucked out, paired with medium-wash blue jeans (fotos #4 e #8: black jeans). Fabric and construction: heavy 280gsm 100% cotton jersey knitted from thick compact 26/1 combed yarn — dense, firm and fully matte, with a tight, slightly grainy surface and no sheen. The structured body holds its shape: side seams hang straight and the fabric forms only a few broad folds; it follows the muscular shoulders and chest without clinging. Firm 2x1 ribbed collar keeps a clean round shape close to the neck; reinforced seams; set-in shoulder seam exactly on the shoulder point; sleeves stand as clean tubes ending in a visible double-stitched hem. Movement: weighty and stable — where fingers pinch the hem or sleeve, the fabric bends in a thick soft fold rather than thin wrinkles. Fit on the model (size M on a 1.84 m, 84 kg man): body length 72 cm ending at the hip, flat chest width 54 cm giving a regular fit that follows the muscular chest with slight ease, shoulder width 46 cm with the seam on the shoulder point, sleeve length 18 cm ending mid-bicep and hugging the arm lightly. Frontal view, one hand lightly holding the front hem near the hip, the other arm relaxed, head slightly turned with eyes looking at or just past the camera. Framing from the head to upper thigh. CRITICAL: absolutely no text, no letters, no logos, no labels, no brand tags visible, no watermark, no graphic overlays, no icons. Plain garment exactly as described, correct anatomy, five fingers per hand.</t>
        </is>
      </c>
      <c r="F63" s="11" t="inlineStr">
        <is>
          <t>A gerar</t>
        </is>
      </c>
    </row>
    <row r="64" ht="300" customHeight="1">
      <c r="A64" s="10" t="inlineStr">
        <is>
          <t>P13</t>
        </is>
      </c>
      <c r="B64" s="10" t="inlineStr">
        <is>
          <t>F1 — Hero olhar lateral</t>
        </is>
      </c>
      <c r="C64" s="10" t="inlineStr">
        <is>
          <t>Origem: fotos #1 (verde) e #14 (azul celeste) — quase frontal, olhar para o lado</t>
        </is>
      </c>
      <c r="D64" s="10" t="inlineStr">
        <is>
          <t>Modelo A · Cor: `washed faded forest green` · Formato: 4:5</t>
        </is>
      </c>
      <c r="E6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Near-frontal view with the body turned very slightly to the camera's right, head turned to the camera's left with the eyes looking off-camera, calm serious expression. Both arms hang relaxed at the sides, hands loose, a thin silver chain bracelet on the left wrist. Framing from the top of the head to upper thigh, subject centered. CRITICAL: absolutely no text, no letters, no logos, no labels, no brand tags visible, no watermark, no graphic overlays, no icons. Plain garment exactly as described, correct anatomy, five fingers per hand.</t>
        </is>
      </c>
      <c r="F64" s="11" t="inlineStr">
        <is>
          <t>A gerar</t>
        </is>
      </c>
    </row>
    <row r="65" ht="300" customHeight="1">
      <c r="A65" s="10" t="inlineStr">
        <is>
          <t>P13</t>
        </is>
      </c>
      <c r="B65" s="10" t="inlineStr">
        <is>
          <t>F2 — Ajustando a manga</t>
        </is>
      </c>
      <c r="C65" s="10" t="inlineStr">
        <is>
          <t>Origem: fotos #2 (verde) e #15 (azul celeste) — 3/4 ajeitando a manga</t>
        </is>
      </c>
      <c r="D65" s="10" t="inlineStr">
        <is>
          <t>Modelo A · Cor: `washed faded forest green` · Formato: 4:5</t>
        </is>
      </c>
      <c r="E6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Three-quarter view, body turned toward the camera's right, head facing the camera and eyes on the lens. His right hand crosses in front of the chest and pinches the hem of his left sleeve, pulling it slightly down; the left arm hangs by the side. Framing from the head to upper thigh. CRITICAL: absolutely no text, no letters, no logos, no labels, no brand tags visible, no watermark, no graphic overlays, no icons. Plain garment exactly as described, correct anatomy, five fingers per hand.</t>
        </is>
      </c>
      <c r="F65" s="11" t="inlineStr">
        <is>
          <t>A gerar</t>
        </is>
      </c>
    </row>
    <row r="66" ht="300" customHeight="1">
      <c r="A66" s="10" t="inlineStr">
        <is>
          <t>P13</t>
        </is>
      </c>
      <c r="B66" s="10" t="inlineStr">
        <is>
          <t>F3 — Detalhe mão na manga</t>
        </is>
      </c>
      <c r="C66" s="10" t="inlineStr">
        <is>
          <t>Origem: foto #3 (verde) — detalhe gola, ombro e manga</t>
        </is>
      </c>
      <c r="D66" s="10" t="inlineStr">
        <is>
          <t>Modelo A · Cor: `washed faded forest green` · Formato: 4:5</t>
        </is>
      </c>
      <c r="E6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Tight detail crop from the lips and beard down to the lower chest, subject offset to the camera's left. His right hand pinches the hem of the left sleeve, the tattooed forearm entering from the bottom of the frame. Sharp focus on the ribbed collar, the faded shoulder seam and the paler abraded sleeve hem. CRITICAL: absolutely no text, no letters, no logos, no labels, no brand tags visible, no watermark, no graphic overlays, no icons. Plain garment exactly as described, correct anatomy, five fingers per hand.</t>
        </is>
      </c>
      <c r="F66" s="11" t="inlineStr">
        <is>
          <t>A gerar</t>
        </is>
      </c>
    </row>
    <row r="67" ht="300" customHeight="1">
      <c r="A67" s="10" t="inlineStr">
        <is>
          <t>P13</t>
        </is>
      </c>
      <c r="B67" s="10" t="inlineStr">
        <is>
          <t>F4 — Costas com rosto de perfil</t>
        </is>
      </c>
      <c r="C67" s="10" t="inlineStr">
        <is>
          <t>Origem: fotos #4 (verde) e #10 (laranja claro)</t>
        </is>
      </c>
      <c r="D67" s="10" t="inlineStr">
        <is>
          <t>Modelo A · Cor: `washed faded forest green` · Formato: 4:5</t>
        </is>
      </c>
      <c r="E6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Back view, standing straight with arms relaxed at the sides, head turned over his left shoulder so the face shows in profile toward the camera's right. The whole back panel is visible, with the uneven cloudy wash and lighter lines along the shoulder and side seams. Framing from the head to upper thigh. CRITICAL: absolutely no text, no letters, no logos, no labels, no brand tags visible, no watermark, no graphic overlays, no icons. Plain garment exactly as described, correct anatomy, five fingers per hand.</t>
        </is>
      </c>
      <c r="F67" s="11" t="inlineStr">
        <is>
          <t>A gerar</t>
        </is>
      </c>
    </row>
    <row r="68" ht="300" customHeight="1">
      <c r="A68" s="10" t="inlineStr">
        <is>
          <t>P13</t>
        </is>
      </c>
      <c r="B68" s="10" t="inlineStr">
        <is>
          <t>F5 — Frontal olhando a câmera</t>
        </is>
      </c>
      <c r="C68" s="10" t="inlineStr">
        <is>
          <t>Origem: foto #5 (cinza)</t>
        </is>
      </c>
      <c r="D68" s="10" t="inlineStr">
        <is>
          <t>Modelo A · Cor: `washed faded forest green` · Formato: 4:5</t>
        </is>
      </c>
      <c r="E6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Frontal view, standing straight, looking directly into the camera, arms relaxed at the sides with hands slightly curled near the thighs, bracelet on the left wrist. Framing from the head to upper thigh, subject centered. CRITICAL: absolutely no text, no letters, no logos, no labels, no brand tags visible, no watermark, no graphic overlays, no icons. Plain garment exactly as described, correct anatomy, five fingers per hand.</t>
        </is>
      </c>
      <c r="F68" s="11" t="inlineStr">
        <is>
          <t>A gerar</t>
        </is>
      </c>
    </row>
    <row r="69" ht="300" customHeight="1">
      <c r="A69" s="10" t="inlineStr">
        <is>
          <t>P13</t>
        </is>
      </c>
      <c r="B69" s="10" t="inlineStr">
        <is>
          <t>F6 — Costas retas</t>
        </is>
      </c>
      <c r="C69" s="10" t="inlineStr">
        <is>
          <t>Origem: fotos #6 (cinza) e #12 (ameixa)</t>
        </is>
      </c>
      <c r="D69" s="10" t="inlineStr">
        <is>
          <t>Modelo A · Cor: `washed faded forest green` · Formato: 4:5</t>
        </is>
      </c>
      <c r="E6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Straight back view, head facing forward (back of the head visible), arms relaxed at the sides, showing the back neck rib, the shoulder seams and the irregular faded back panel. Framing from the head to upper thigh. CRITICAL: absolutely no text, no letters, no logos, no labels, no brand tags visible, no watermark, no graphic overlays, no icons. Plain garment exactly as described, correct anatomy, five fingers per hand.</t>
        </is>
      </c>
      <c r="F69" s="11" t="inlineStr">
        <is>
          <t>A gerar</t>
        </is>
      </c>
    </row>
    <row r="70" ht="300" customHeight="1">
      <c r="A70" s="10" t="inlineStr">
        <is>
          <t>P13</t>
        </is>
      </c>
      <c r="B70" s="10" t="inlineStr">
        <is>
          <t>F7 — Detalhe gola e ombro</t>
        </is>
      </c>
      <c r="C70" s="10" t="inlineStr">
        <is>
          <t>Origem: fotos #7 (cinza), #9 (laranja claro) e #13 (ameixa)</t>
        </is>
      </c>
      <c r="D70" s="10" t="inlineStr">
        <is>
          <t>Modelo A · Cor: `washed faded forest green` · Formato: 4:5</t>
        </is>
      </c>
      <c r="E7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Tight detail crop from the mouth down to the mid chest, subject offset to the camera's left so the collar, the shoulder seam and the sleeve on his left side fill the frame; the top of the tattooed upper arm just visible at the sleeve opening. Macro-level sharpness on the stone-washed texture: pale worn edge of the collar rib and a faded halo along the shoulder seam and sleeve hem. CRITICAL: absolutely no text, no letters, no logos, no labels, no brand tags visible, no watermark, no graphic overlays, no icons. Plain garment exactly as described, correct anatomy, five fingers per hand.</t>
        </is>
      </c>
      <c r="F70" s="11" t="inlineStr">
        <is>
          <t>A gerar</t>
        </is>
      </c>
    </row>
    <row r="71" ht="300" customHeight="1">
      <c r="A71" s="10" t="inlineStr">
        <is>
          <t>P13</t>
        </is>
      </c>
      <c r="B71" s="10" t="inlineStr">
        <is>
          <t>F8 — 3/4 mão na barra</t>
        </is>
      </c>
      <c r="C71" s="10" t="inlineStr">
        <is>
          <t>Origem: foto #8 (laranja claro)</t>
        </is>
      </c>
      <c r="D71" s="10" t="inlineStr">
        <is>
          <t>Modelo A · Cor: `washed faded forest green` · Formato: 4:5</t>
        </is>
      </c>
      <c r="E7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Three-quarter view, body turned toward the camera's right, looking straight at the camera. His left hand lightly holds the bottom hem at the side, the right arm relaxed. Framing from the head to upper thigh. CRITICAL: absolutely no text, no letters, no logos, no labels, no brand tags visible, no watermark, no graphic overlays, no icons. Plain garment exactly as described, correct anatomy, five fingers per hand.</t>
        </is>
      </c>
      <c r="F71" s="11" t="inlineStr">
        <is>
          <t>A gerar</t>
        </is>
      </c>
    </row>
    <row r="72" ht="300" customHeight="1">
      <c r="A72" s="10" t="inlineStr">
        <is>
          <t>P13</t>
        </is>
      </c>
      <c r="B72" s="10" t="inlineStr">
        <is>
          <t>F9 — Frontal olhar lateral, mãos na barra</t>
        </is>
      </c>
      <c r="C72" s="10" t="inlineStr">
        <is>
          <t>Origem: foto #11 (ameixa/bordô)</t>
        </is>
      </c>
      <c r="D72" s="10" t="inlineStr">
        <is>
          <t>Modelo A · Cor: `washed faded forest green` · Formato: 4:5</t>
        </is>
      </c>
      <c r="E7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forest green,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Near-frontal view, head turned slightly to the camera's left, eyes off-camera. Both hands rest near the bottom hem at the front of the thighs, fingers lightly touching the fabric. Framing from the top of the head to upper thigh. CRITICAL: absolutely no text, no letters, no logos, no labels, no brand tags visible, no watermark, no graphic overlays, no icons. Plain garment exactly as described, correct anatomy, five fingers per hand.</t>
        </is>
      </c>
      <c r="F72" s="11" t="inlineStr">
        <is>
          <t>A gerar</t>
        </is>
      </c>
    </row>
    <row r="73" ht="300" customHeight="1">
      <c r="A73" s="10" t="inlineStr">
        <is>
          <t>P14</t>
        </is>
      </c>
      <c r="B73" s="10" t="inlineStr">
        <is>
          <t>F1 — Frontal braços soltos</t>
        </is>
      </c>
      <c r="C73" s="10" t="inlineStr">
        <is>
          <t>Origem: fotos #1 (preto), #11 (marinho) e #15 (damasco)</t>
        </is>
      </c>
      <c r="D73" s="10" t="inlineStr">
        <is>
          <t>Modelo A · Cor: `washed faded black (soft charcoal gray)` · Formato: 4:5</t>
        </is>
      </c>
      <c r="E7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Near-frontal view with a very slight turn of the body to the camera's right, looking straight into the camera with a calm serious expression. Both arms hang relaxed at the sides, hands loose near the thighs, a thin silver chain bracelet on the left wrist. Framing from the top of the head to upper thigh, subject centered. CRITICAL: absolutely no text, no letters, no logos, no labels, no brand tags visible, no watermark, no graphic overlays, no icons. Plain garment exactly as described, correct anatomy, five fingers per hand.</t>
        </is>
      </c>
      <c r="F73" s="11" t="inlineStr">
        <is>
          <t>A gerar</t>
        </is>
      </c>
    </row>
    <row r="74" ht="300" customHeight="1">
      <c r="A74" s="10" t="inlineStr">
        <is>
          <t>P14</t>
        </is>
      </c>
      <c r="B74" s="10" t="inlineStr">
        <is>
          <t>F2 — Costas retas</t>
        </is>
      </c>
      <c r="C74" s="10" t="inlineStr">
        <is>
          <t>Origem: fotos #2 (preto) e #6 (laranja)</t>
        </is>
      </c>
      <c r="D74" s="10" t="inlineStr">
        <is>
          <t>Modelo A · Cor: `washed faded black (soft charcoal gray)` · Formato: 4:5</t>
        </is>
      </c>
      <c r="E7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Straight back view, head facing forward (back of the head visible), arms relaxed at the sides, showing the back neck rib, the shoulder seams and the irregular faded back panel. Framing from the head to upper thigh. CRITICAL: absolutely no text, no letters, no logos, no labels, no brand tags visible, no watermark, no graphic overlays, no icons. Plain garment exactly as described, correct anatomy, five fingers per hand.</t>
        </is>
      </c>
      <c r="F74" s="11" t="inlineStr">
        <is>
          <t>A gerar</t>
        </is>
      </c>
    </row>
    <row r="75" ht="300" customHeight="1">
      <c r="A75" s="10" t="inlineStr">
        <is>
          <t>P14</t>
        </is>
      </c>
      <c r="B75" s="10" t="inlineStr">
        <is>
          <t>F3 — Costas com rosto de perfil</t>
        </is>
      </c>
      <c r="C75" s="10" t="inlineStr">
        <is>
          <t>Origem: foto #13 (marinho)</t>
        </is>
      </c>
      <c r="D75" s="10" t="inlineStr">
        <is>
          <t>Modelo A · Cor: `washed faded black (soft charcoal gray)` · Formato: 4:5</t>
        </is>
      </c>
      <c r="E7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Back view, standing straight with arms relaxed, head turned over his right shoulder so the face shows in profile toward the camera's left. Framing from the head to upper thigh. CRITICAL: absolutely no text, no letters, no logos, no labels, no brand tags visible, no watermark, no graphic overlays, no icons. Plain garment exactly as described, correct anatomy, five fingers per hand.</t>
        </is>
      </c>
      <c r="F75" s="11" t="inlineStr">
        <is>
          <t>A gerar</t>
        </is>
      </c>
    </row>
    <row r="76" ht="300" customHeight="1">
      <c r="A76" s="10" t="inlineStr">
        <is>
          <t>P14</t>
        </is>
      </c>
      <c r="B76" s="10" t="inlineStr">
        <is>
          <t>F4 — Detalhe ombro e manga</t>
        </is>
      </c>
      <c r="C76" s="10" t="inlineStr">
        <is>
          <t>Origem: fotos #3 (preto), #9 (bege) e #14 (marinho)</t>
        </is>
      </c>
      <c r="D76" s="10" t="inlineStr">
        <is>
          <t>Modelo A · Cor: `washed faded black (soft charcoal gray)` · Formato: 4:5</t>
        </is>
      </c>
      <c r="E7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Tight detail crop from the nose and lips down to the mid chest, subject offset to the camera's left so the collar rib, the shoulder seam and the sleeve on his left side (camera right) fill the frame; the tattooed forearm just enters at the bottom-right corner. Macro sharpness on the faded seam lines and the pale halo along the sleeve hem. CRITICAL: absolutely no text, no letters, no logos, no labels, no brand tags visible, no watermark, no graphic overlays, no icons. Plain garment exactly as described, correct anatomy, five fingers per hand.</t>
        </is>
      </c>
      <c r="F76" s="11" t="inlineStr">
        <is>
          <t>A gerar</t>
        </is>
      </c>
    </row>
    <row r="77" ht="300" customHeight="1">
      <c r="A77" s="10" t="inlineStr">
        <is>
          <t>P14</t>
        </is>
      </c>
      <c r="B77" s="10" t="inlineStr">
        <is>
          <t>F5 — Detalhe mão na manga</t>
        </is>
      </c>
      <c r="C77" s="10" t="inlineStr">
        <is>
          <t>Origem: foto #7 (laranja)</t>
        </is>
      </c>
      <c r="D77" s="10" t="inlineStr">
        <is>
          <t>Modelo A · Cor: `washed faded black (soft charcoal gray)` · Formato: 4:5</t>
        </is>
      </c>
      <c r="E7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Tight detail crop from the lips to the lower chest; his right hand crosses the body and pinches the hem of his left sleeve, pulling it slightly, tattooed forearms in frame. Focus on the collar, the sleeve hem and the soft washed texture. CRITICAL: absolutely no text, no letters, no logos, no labels, no brand tags visible, no watermark, no graphic overlays, no icons. Plain garment exactly as described, correct anatomy, five fingers per hand.</t>
        </is>
      </c>
      <c r="F77" s="11" t="inlineStr">
        <is>
          <t>A gerar</t>
        </is>
      </c>
    </row>
    <row r="78" ht="300" customHeight="1">
      <c r="A78" s="10" t="inlineStr">
        <is>
          <t>P14</t>
        </is>
      </c>
      <c r="B78" s="10" t="inlineStr">
        <is>
          <t>F6 — Detalhe gola frontal</t>
        </is>
      </c>
      <c r="C78" s="10" t="inlineStr">
        <is>
          <t>Origem: foto #10 (bege)</t>
        </is>
      </c>
      <c r="D78" s="10" t="inlineStr">
        <is>
          <t>Modelo A · Cor: `washed faded black (soft charcoal gray)` · Formato: 4:5</t>
        </is>
      </c>
      <c r="E7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Tight centered crop from the nose down to the mid chest, collar exactly centered, shoulders square to the lens, showing the full ring of the 2x1 ribbed collar with its paler worn fold and the cloudy wash on the chest. CRITICAL: absolutely no text, no letters, no logos, no labels, no brand tags visible, no watermark, no graphic overlays, no icons. Plain garment exactly as described, correct anatomy, five fingers per hand.</t>
        </is>
      </c>
      <c r="F78" s="11" t="inlineStr">
        <is>
          <t>A gerar</t>
        </is>
      </c>
    </row>
    <row r="79" ht="300" customHeight="1">
      <c r="A79" s="10" t="inlineStr">
        <is>
          <t>P14</t>
        </is>
      </c>
      <c r="B79" s="10" t="inlineStr">
        <is>
          <t>F7 — 3/4 mão na barra, olhar baixo</t>
        </is>
      </c>
      <c r="C79" s="10" t="inlineStr">
        <is>
          <t>Origem: fotos #4 (laranja) e #8 (bege)</t>
        </is>
      </c>
      <c r="D79" s="10" t="inlineStr">
        <is>
          <t>Modelo A · Cor: `washed faded black (soft charcoal gray)` · Formato: 4:5</t>
        </is>
      </c>
      <c r="E7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Three-quarter view, body turned toward the camera's left, head lowered slightly with the eyes looking down off-camera to the camera's left. His left hand lightly holds the bottom hem at the side, the right arm relaxed. Framing from the head to upper thigh. CRITICAL: absolutely no text, no letters, no logos, no labels, no brand tags visible, no watermark, no graphic overlays, no icons. Plain garment exactly as described, correct anatomy, five fingers per hand.</t>
        </is>
      </c>
      <c r="F79" s="11" t="inlineStr">
        <is>
          <t>A gerar</t>
        </is>
      </c>
    </row>
    <row r="80" ht="300" customHeight="1">
      <c r="A80" s="10" t="inlineStr">
        <is>
          <t>P14</t>
        </is>
      </c>
      <c r="B80" s="10" t="inlineStr">
        <is>
          <t>F8 — Mão na nuca</t>
        </is>
      </c>
      <c r="C80" s="10" t="inlineStr">
        <is>
          <t>Origem: foto #5 (laranja)</t>
        </is>
      </c>
      <c r="D80" s="10" t="inlineStr">
        <is>
          <t>Modelo A · Cor: `washed faded black (soft charcoal gray)` · Formato: 4:5</t>
        </is>
      </c>
      <c r="E8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Near-frontal view, head tilted slightly to his right, looking at the camera. His right hand is raised behind the neck with the elbow up and out to the side, tattooed forearm across the upper frame; the left arm relaxed. The raised arm lifts the t-shirt at the side, forming soft diagonal tension folds from the armpit to the waist. Framing from the head to upper thigh. CRITICAL: absolutely no text, no letters, no logos, no labels, no brand tags visible, no watermark, no graphic overlays, no icons. Plain garment exactly as described, correct anatomy, five fingers per hand.</t>
        </is>
      </c>
      <c r="F80" s="11" t="inlineStr">
        <is>
          <t>A gerar</t>
        </is>
      </c>
    </row>
    <row r="81" ht="300" customHeight="1">
      <c r="A81" s="10" t="inlineStr">
        <is>
          <t>P14</t>
        </is>
      </c>
      <c r="B81" s="10" t="inlineStr">
        <is>
          <t>F9 — Olhar de perfil</t>
        </is>
      </c>
      <c r="C81" s="10" t="inlineStr">
        <is>
          <t>Origem: foto #12 (marinho)</t>
        </is>
      </c>
      <c r="D81" s="10" t="inlineStr">
        <is>
          <t>Modelo A · Cor: `washed faded black (soft charcoal gray)` · Formato: 4:5</t>
        </is>
      </c>
      <c r="E8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vintage finish, washed faded black (soft charcoal gray), set-in shoulders, short sleeves ending mid-bicep with a double-needle hem, 2x1 ribbed crew neck, straight double-stitched hem at the hip, completely plain with no print, tucked out, paired with black slim jeans with faded, bleached whiskering on the thighs. Fabric and construction: light-to-medium 175gsm 100% combed cotton single jersey (30/1 yarn), pre-shrunk and anti-torsion, with a soft, relaxed, lived-in hand.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2x1 ribbed crew neck, ring-knit with no front seam, about 2 cm tall, lying flat; shoulder-to-shoulder internal tape keeps the shoulder line clean; side seams hang straight with no twist. Movement: supple and light — the regular body skims the chest without clinging and forms small, soft, rounded folds at the waist and inner elbow; where a hand pulls, the fabric creases easily like a tee that has been washed many times. Fit on the model (size M on a 1.84 m, 84 kg man): body length 72 cm ending at the hip, chest width 54 cm giving 2–4 cm of relaxed ease, shoulder width 46 cm with the shoulder seam sitting exactly on the shoulder point, sleeve length 18 cm ending mid-bicep. Body facing the camera, head turned sharply to the camera's right so the face is almost in profile, arms relaxed at the sides. Framing from the head to upper thigh. CRITICAL: absolutely no text, no letters, no logos, no labels, no brand tags visible, no watermark, no graphic overlays, no icons. Plain garment exactly as described, correct anatomy, five fingers per hand.</t>
        </is>
      </c>
      <c r="F81" s="11" t="inlineStr">
        <is>
          <t>A gerar</t>
        </is>
      </c>
    </row>
    <row r="82" ht="300" customHeight="1">
      <c r="A82" s="10" t="inlineStr">
        <is>
          <t>P15</t>
        </is>
      </c>
      <c r="B82" s="10" t="inlineStr">
        <is>
          <t>F1 — Frontal olhando a câmera</t>
        </is>
      </c>
      <c r="C82" s="10" t="inlineStr">
        <is>
          <t>Origem: foto #21 (azul neon)</t>
        </is>
      </c>
      <c r="D82" s="10" t="inlineStr">
        <is>
          <t>Modelo A · Cor: `neon orange` · Formato: 4:5</t>
        </is>
      </c>
      <c r="E8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Frontal view, standing straight, looking directly into the camera, arms relaxed at the sides slightly away from the body, a beaded bracelet on the left wrist. Framing from the head to upper thigh, subject centered. CRITICAL: absolutely no text, no letters, no logos, no labels, no brand tags visible, no watermark, no graphic overlays, no icons. Plain garment exactly as described, correct anatomy, five fingers per hand.</t>
        </is>
      </c>
      <c r="F82" s="11" t="inlineStr">
        <is>
          <t>A gerar</t>
        </is>
      </c>
    </row>
    <row r="83" ht="300" customHeight="1">
      <c r="A83" s="10" t="inlineStr">
        <is>
          <t>P15</t>
        </is>
      </c>
      <c r="B83" s="10" t="inlineStr">
        <is>
          <t>F2 — 3/4 mão no bolso</t>
        </is>
      </c>
      <c r="C83" s="10" t="inlineStr">
        <is>
          <t>Origem: fotos #1 (laranja neon) e #16 (amarelo neon)</t>
        </is>
      </c>
      <c r="D83" s="10" t="inlineStr">
        <is>
          <t>Modelo A · Cor: `neon orange` · Formato: 4:5</t>
        </is>
      </c>
      <c r="E8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Three-quarter view, body turned slightly toward the camera's left, looking at the camera. His left hand is tucked into the trouser pocket with the thumb out, the hem of the t-shirt resting over the wrist; the right arm hangs relaxed. Framing from the head to upper thigh. CRITICAL: absolutely no text, no letters, no logos, no labels, no brand tags visible, no watermark, no graphic overlays, no icons. Plain garment exactly as described, correct anatomy, five fingers per hand.</t>
        </is>
      </c>
      <c r="F83" s="11" t="inlineStr">
        <is>
          <t>A gerar</t>
        </is>
      </c>
    </row>
    <row r="84" ht="300" customHeight="1">
      <c r="A84" s="10" t="inlineStr">
        <is>
          <t>P15</t>
        </is>
      </c>
      <c r="B84" s="10" t="inlineStr">
        <is>
          <t>F3 — Frontal olhar lateral</t>
        </is>
      </c>
      <c r="C84" s="10" t="inlineStr">
        <is>
          <t>Origem: fotos #5 (laranja neon), #18 e #19 (azul neon)</t>
        </is>
      </c>
      <c r="D84" s="10" t="inlineStr">
        <is>
          <t>Modelo A · Cor: `neon orange` · Formato: 4:5</t>
        </is>
      </c>
      <c r="E8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Near-frontal view, head turned to the camera's left, eyes off-camera, arms hanging relaxed at the sides. Framing from the head to upper thigh. CRITICAL: absolutely no text, no letters, no logos, no labels, no brand tags visible, no watermark, no graphic overlays, no icons. Plain garment exactly as described, correct anatomy, five fingers per hand.</t>
        </is>
      </c>
      <c r="F84" s="11" t="inlineStr">
        <is>
          <t>A gerar</t>
        </is>
      </c>
    </row>
    <row r="85" ht="300" customHeight="1">
      <c r="A85" s="10" t="inlineStr">
        <is>
          <t>P15</t>
        </is>
      </c>
      <c r="B85" s="10" t="inlineStr">
        <is>
          <t>F4 — Mãos juntas à frente</t>
        </is>
      </c>
      <c r="C85" s="10" t="inlineStr">
        <is>
          <t>Origem: fotos #6 (verde neon), #14 (amarelo neon) e #20 (azul neon)</t>
        </is>
      </c>
      <c r="D85" s="10" t="inlineStr">
        <is>
          <t>Modelo A · Cor: `neon orange` · Formato: 4:5</t>
        </is>
      </c>
      <c r="E8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Three-quarter view, looking at the camera, both hands brought together in front of the lower belly, one hand loosely holding the other wrist at hem height; the bracelet visible. Framing from the head to upper thigh. CRITICAL: absolutely no text, no letters, no logos, no labels, no brand tags visible, no watermark, no graphic overlays, no icons. Plain garment exactly as described, correct anatomy, five fingers per hand.</t>
        </is>
      </c>
      <c r="F85" s="11" t="inlineStr">
        <is>
          <t>A gerar</t>
        </is>
      </c>
    </row>
    <row r="86" ht="300" customHeight="1">
      <c r="A86" s="10" t="inlineStr">
        <is>
          <t>P15</t>
        </is>
      </c>
      <c r="B86" s="10" t="inlineStr">
        <is>
          <t>F5 — Mãos puxando a barra</t>
        </is>
      </c>
      <c r="C86" s="10" t="inlineStr">
        <is>
          <t>Origem: fotos #8 (verde neon) e #12 (roxo neon)</t>
        </is>
      </c>
      <c r="D86" s="10" t="inlineStr">
        <is>
          <t>Modelo A · Cor: `neon orange` · Formato: 4:5</t>
        </is>
      </c>
      <c r="E8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Frontal view, looking straight into the camera, both hands at the sides pinching the bottom hem and pulling it gently down, creating soft vertical tension folds from the hem to the chest. Framing from the head to upper thigh. CRITICAL: absolutely no text, no letters, no logos, no labels, no brand tags visible, no watermark, no graphic overlays, no icons. Plain garment exactly as described, correct anatomy, five fingers per hand.</t>
        </is>
      </c>
      <c r="F86" s="11" t="inlineStr">
        <is>
          <t>A gerar</t>
        </is>
      </c>
    </row>
    <row r="87" ht="300" customHeight="1">
      <c r="A87" s="10" t="inlineStr">
        <is>
          <t>P15</t>
        </is>
      </c>
      <c r="B87" s="10" t="inlineStr">
        <is>
          <t>F6 — 3/4 mão cruzando na barra</t>
        </is>
      </c>
      <c r="C87" s="10" t="inlineStr">
        <is>
          <t>Origem: foto #9 (roxo neon)</t>
        </is>
      </c>
      <c r="D87" s="10" t="inlineStr">
        <is>
          <t>Modelo A · Cor: `neon orange` · Formato: 4:5</t>
        </is>
      </c>
      <c r="E8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Three-quarter view, head turned to the camera's left with the eyes off-camera. His right hand crosses in front of the body to touch the hem on the opposite side, the left arm relaxed. Framing from the head to upper thigh. CRITICAL: absolutely no text, no letters, no logos, no labels, no brand tags visible, no watermark, no graphic overlays, no icons. Plain garment exactly as described, correct anatomy, five fingers per hand.</t>
        </is>
      </c>
      <c r="F87" s="11" t="inlineStr">
        <is>
          <t>A gerar</t>
        </is>
      </c>
    </row>
    <row r="88" ht="300" customHeight="1">
      <c r="A88" s="10" t="inlineStr">
        <is>
          <t>P15</t>
        </is>
      </c>
      <c r="B88" s="10" t="inlineStr">
        <is>
          <t>F7 — Cabeça baixa</t>
        </is>
      </c>
      <c r="C88" s="10" t="inlineStr">
        <is>
          <t>Origem: foto #11 (roxo neon)</t>
        </is>
      </c>
      <c r="D88" s="10" t="inlineStr">
        <is>
          <t>Modelo A · Cor: `neon orange` · Formato: 4:5</t>
        </is>
      </c>
      <c r="E8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Near-frontal view, head bowed with the eyes looking down to the floor at the camera's left, arms relaxed at the sides. Framing from the head to upper thigh. CRITICAL: absolutely no text, no letters, no logos, no labels, no brand tags visible, no watermark, no graphic overlays, no icons. Plain garment exactly as described, correct anatomy, five fingers per hand.</t>
        </is>
      </c>
      <c r="F88" s="11" t="inlineStr">
        <is>
          <t>A gerar</t>
        </is>
      </c>
    </row>
    <row r="89" ht="300" customHeight="1">
      <c r="A89" s="10" t="inlineStr">
        <is>
          <t>P15</t>
        </is>
      </c>
      <c r="B89" s="10" t="inlineStr">
        <is>
          <t>F8 — Perfil 3/4 com mão no bolso</t>
        </is>
      </c>
      <c r="C89" s="10" t="inlineStr">
        <is>
          <t>Origem: foto #17 (rosa neon)</t>
        </is>
      </c>
      <c r="D89" s="10" t="inlineStr">
        <is>
          <t>Modelo A · Cor: `neon orange` · Formato: 4:5</t>
        </is>
      </c>
      <c r="E8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Three-quarter view with body and head turned toward the camera's left, face in near profile, one hand in the trouser pocket, the other arm relaxed. Framing from the head to upper thigh. CRITICAL: absolutely no text, no letters, no logos, no labels, no brand tags visible, no watermark, no graphic overlays, no icons. Plain garment exactly as described, correct anatomy, five fingers per hand.</t>
        </is>
      </c>
      <c r="F89" s="11" t="inlineStr">
        <is>
          <t>A gerar</t>
        </is>
      </c>
    </row>
    <row r="90" ht="300" customHeight="1">
      <c r="A90" s="10" t="inlineStr">
        <is>
          <t>P15</t>
        </is>
      </c>
      <c r="B90" s="10" t="inlineStr">
        <is>
          <t>F9 — Detalhe puxando a gola</t>
        </is>
      </c>
      <c r="C90" s="10" t="inlineStr">
        <is>
          <t>Origem: foto #2 (laranja neon)</t>
        </is>
      </c>
      <c r="D90" s="10" t="inlineStr">
        <is>
          <t>Modelo A · Cor: `neon orange` · Formato: 4:5</t>
        </is>
      </c>
      <c r="E9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Tight detail crop from the nose to the mid chest; his left hand, with a beaded bracelet and tattooed forearm, pinches the collar at the side of the neck and lifts it slightly. Sharp focus on the 2x1 ribbed collar and the matte neon jersey. CRITICAL: absolutely no text, no letters, no logos, no labels, no brand tags visible, no watermark, no graphic overlays, no icons. Plain garment exactly as described, correct anatomy, five fingers per hand.</t>
        </is>
      </c>
      <c r="F90" s="11" t="inlineStr">
        <is>
          <t>A gerar</t>
        </is>
      </c>
    </row>
    <row r="91" ht="300" customHeight="1">
      <c r="A91" s="10" t="inlineStr">
        <is>
          <t>P15</t>
        </is>
      </c>
      <c r="B91" s="10" t="inlineStr">
        <is>
          <t>F10 — Detalhe ombro e manga</t>
        </is>
      </c>
      <c r="C91" s="10" t="inlineStr">
        <is>
          <t>Origem: fotos #7 (verde neon) e #15 (amarelo neon)</t>
        </is>
      </c>
      <c r="D91" s="10" t="inlineStr">
        <is>
          <t>Modelo A · Cor: `neon orange` · Formato: 4:5</t>
        </is>
      </c>
      <c r="E9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Tight detail crop from the beard to the mid chest, offset so the shoulder seam and the sleeve on his left side fill the frame, tattooed forearm entering from below. Focus on the faint heathered wash and the paler seam line. CRITICAL: absolutely no text, no letters, no logos, no labels, no brand tags visible, no watermark, no graphic overlays, no icons. Plain garment exactly as described, correct anatomy, five fingers per hand.</t>
        </is>
      </c>
      <c r="F91" s="11" t="inlineStr">
        <is>
          <t>A gerar</t>
        </is>
      </c>
    </row>
    <row r="92" ht="300" customHeight="1">
      <c r="A92" s="10" t="inlineStr">
        <is>
          <t>P15</t>
        </is>
      </c>
      <c r="B92" s="10" t="inlineStr">
        <is>
          <t>F11 — Mockup de personalização (versão HMZT)</t>
        </is>
      </c>
      <c r="C92" s="10" t="inlineStr">
        <is>
          <t>Origem: foto #3 (mockup do fornecedor com texto, outro modelo) — refeito liso; banners #4, #10 e #13 não viram shot</t>
        </is>
      </c>
      <c r="D92" s="10" t="inlineStr">
        <is>
          <t>Modelo A · Cor: `neon orange` · Formato: 4:5</t>
        </is>
      </c>
      <c r="E9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short-sleeve t-shirt in 175gsm 100% combed cotton jersey (30/1 yarn) with a stone-washed finish in neon orange fluorescent neon color, set-in shoulders, short sleeves ending mid-bicep with a double-needle hem, 2x1 ribbed crew neck, straight double-stitched hem at the hip, completely plain with no print, tucked out, paired with off-white cotton drawstring trousers with a black drawstring hanging at the front. Fabric and construction: light-to-medium 175gsm 100% combed cotton single jersey (30/1 yarn), pre-shrunk and anti-torsion, soft and lived-in. Dyed in a fluorescent neon color that stays very bright and saturated — it almost glows under the studio light — yet the surface is dry and fully matte, never shiny or synthetic-looking. The stone wash is subtle on neon: a faint, uneven heathered mottling across the body and a slightly paler, abraded tone along the seams, the folded edge of the collar, the sleeve hems and the bottom hem; every piece is a little different. 2x1 ribbed crew neck, ring-knit with no front seam, about 2 cm tall, lying flat; shoulder-to-shoulder internal tape; chain-stitched seams with tiny vintage puckering; double-needle hems. Movement: light and supple — soft small folds at the waist and inner elbow, creasing easily where the hands touch the fabric. Fit on the model (size M on a 1.84 m, 84 kg man): body length 72 cm ending at the hip, chest width 54 cm giving 2–4 cm of relaxed ease, shoulder width 46 cm with the shoulder seam sitting exactly on the shoulder point, sleeve length 18 cm ending mid-bicep. Frontal view, torso square to the lens so the whole front panel is flat, smooth and unobstructed for compositing a print later, arms relaxed slightly away from the body, looking straight at the camera. Framing from the head to upper thigh, subject centered. CRITICAL: absolutely no text, no letters, no logos, no labels, no brand tags visible, no watermark, no graphic overlays, no icons. Plain garment exactly as described, correct anatomy, five fingers per hand.</t>
        </is>
      </c>
      <c r="F92" s="11" t="inlineStr">
        <is>
          <t>A gerar</t>
        </is>
      </c>
    </row>
    <row r="93" ht="300" customHeight="1">
      <c r="A93" s="10" t="inlineStr">
        <is>
          <t>P16</t>
        </is>
      </c>
      <c r="B93" s="10" t="inlineStr">
        <is>
          <t>F1 — Frontal mãos na barra</t>
        </is>
      </c>
      <c r="C93" s="10" t="inlineStr">
        <is>
          <t>Origem: fotos #1 (azul claro), #11 e #12 (rosa neon)</t>
        </is>
      </c>
      <c r="D93" s="10" t="inlineStr">
        <is>
          <t>Modelo A · Cor: `washed pale sky blue` · Formato: 4:5</t>
        </is>
      </c>
      <c r="E9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Frontal view, head turned slightly to the camera's right with the eyes off-camera, both hands at the sides lightly pinching the bottom hem, so the wide boxy body hangs straight between the hands. Framing from the head to upper thigh, subject centered. CRITICAL: absolutely no text, no letters, no logos, no labels, no brand tags visible, no watermark, no graphic overlays, no icons. Plain garment exactly as described, correct anatomy, five fingers per hand.</t>
        </is>
      </c>
      <c r="F93" s="11" t="inlineStr">
        <is>
          <t>A gerar</t>
        </is>
      </c>
    </row>
    <row r="94" ht="300" customHeight="1">
      <c r="A94" s="10" t="inlineStr">
        <is>
          <t>P16</t>
        </is>
      </c>
      <c r="B94" s="10" t="inlineStr">
        <is>
          <t>F2 — 3/4 mão no bolso</t>
        </is>
      </c>
      <c r="C94" s="10" t="inlineStr">
        <is>
          <t>Origem: fotos #9 (rosa neon), #21 (verde neon) e #26 (rosa claro)</t>
        </is>
      </c>
      <c r="D94" s="10" t="inlineStr">
        <is>
          <t>Modelo A · Cor: `washed pale sky blue` · Formato: 4:5</t>
        </is>
      </c>
      <c r="E9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Three-quarter view, body turned slightly toward the camera's left, looking at the camera. His left hand is tucked into the trouser pocket, the long hem draping over the wrist; the right arm hangs relaxed. Framing from the head to upper thigh. CRITICAL: absolutely no text, no letters, no logos, no labels, no brand tags visible, no watermark, no graphic overlays, no icons. Plain garment exactly as described, correct anatomy, five fingers per hand.</t>
        </is>
      </c>
      <c r="F94" s="11" t="inlineStr">
        <is>
          <t>A gerar</t>
        </is>
      </c>
    </row>
    <row r="95" ht="300" customHeight="1">
      <c r="A95" s="10" t="inlineStr">
        <is>
          <t>P16</t>
        </is>
      </c>
      <c r="B95" s="10" t="inlineStr">
        <is>
          <t>F3 — Frontal olhar lateral, mão no bolso</t>
        </is>
      </c>
      <c r="C95" s="10" t="inlineStr">
        <is>
          <t>Origem: fotos #5 (azul claro) e #15 (laranja neon)</t>
        </is>
      </c>
      <c r="D95" s="10" t="inlineStr">
        <is>
          <t>Modelo A · Cor: `washed pale sky blue` · Formato: 4:5</t>
        </is>
      </c>
      <c r="E9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Near-frontal view, head turned to the camera's left, eyes off-camera, the right arm hanging relaxed and the left hand in the trouser pocket. Framing from the head to upper thigh. CRITICAL: absolutely no text, no letters, no logos, no labels, no brand tags visible, no watermark, no graphic overlays, no icons. Plain garment exactly as described, correct anatomy, five fingers per hand.</t>
        </is>
      </c>
      <c r="F95" s="11" t="inlineStr">
        <is>
          <t>A gerar</t>
        </is>
      </c>
    </row>
    <row r="96" ht="300" customHeight="1">
      <c r="A96" s="10" t="inlineStr">
        <is>
          <t>P16</t>
        </is>
      </c>
      <c r="B96" s="10" t="inlineStr">
        <is>
          <t>F4 — Frontal braços soltos</t>
        </is>
      </c>
      <c r="C96" s="10" t="inlineStr">
        <is>
          <t>Origem: fotos #18 (laranja neon), #22 (verde neon), #25 (rosa claro); mesma pose nas #8, #14 e #17 (segundo modelo, cores terrosas)</t>
        </is>
      </c>
      <c r="D96" s="10" t="inlineStr">
        <is>
          <t>Modelo A · Cor: `washed pale sky blue` · Formato: 4:5</t>
        </is>
      </c>
      <c r="E9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Frontal view, standing straight, looking directly into the camera, arms relaxed at the sides slightly away from the wide body. Framing from the head to upper thigh, subject centered. CRITICAL: absolutely no text, no letters, no logos, no labels, no brand tags visible, no watermark, no graphic overlays, no icons. Plain garment exactly as described, correct anatomy, five fingers per hand.</t>
        </is>
      </c>
      <c r="F96" s="11" t="inlineStr">
        <is>
          <t>A gerar</t>
        </is>
      </c>
    </row>
    <row r="97" ht="300" customHeight="1">
      <c r="A97" s="10" t="inlineStr">
        <is>
          <t>P16</t>
        </is>
      </c>
      <c r="B97" s="10" t="inlineStr">
        <is>
          <t>F5 — 3/4 olhar para baixo</t>
        </is>
      </c>
      <c r="C97" s="10" t="inlineStr">
        <is>
          <t>Origem: foto #20 (laranja neon)</t>
        </is>
      </c>
      <c r="D97" s="10" t="inlineStr">
        <is>
          <t>Modelo A · Cor: `washed pale sky blue` · Formato: 4:5</t>
        </is>
      </c>
      <c r="E9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Three-quarter view, body turned toward the camera's left, head lowered with the eyes looking down to the camera's right, arms relaxed. Framing from the head to upper thigh. CRITICAL: absolutely no text, no letters, no logos, no labels, no brand tags visible, no watermark, no graphic overlays, no icons. Plain garment exactly as described, correct anatomy, five fingers per hand.</t>
        </is>
      </c>
      <c r="F97" s="11" t="inlineStr">
        <is>
          <t>A gerar</t>
        </is>
      </c>
    </row>
    <row r="98" ht="300" customHeight="1">
      <c r="A98" s="10" t="inlineStr">
        <is>
          <t>P16</t>
        </is>
      </c>
      <c r="B98" s="10" t="inlineStr">
        <is>
          <t>F6 — Detalhe gola e ombro caído</t>
        </is>
      </c>
      <c r="C98" s="10" t="inlineStr">
        <is>
          <t>Origem: fotos #4 (azul claro) e #27 (rosa claro)</t>
        </is>
      </c>
      <c r="D98" s="10" t="inlineStr">
        <is>
          <t>Modelo A · Cor: `washed pale sky blue` · Formato: 4:5</t>
        </is>
      </c>
      <c r="E9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Tight detail crop from the lips and beard down to the mid chest, subject offset so the collar, the dropped shoulder seam on the upper arm and the wide sleeve on his left side fill the frame. Macro sharpness on the cloudy wash, the pale worn collar edge and the faded dropped-shoulder seam. CRITICAL: absolutely no text, no letters, no logos, no labels, no brand tags visible, no watermark, no graphic overlays, no icons. Plain garment exactly as described, correct anatomy, five fingers per hand.</t>
        </is>
      </c>
      <c r="F98" s="11" t="inlineStr">
        <is>
          <t>A gerar</t>
        </is>
      </c>
    </row>
    <row r="99" ht="300" customHeight="1">
      <c r="A99" s="10" t="inlineStr">
        <is>
          <t>P16</t>
        </is>
      </c>
      <c r="B99" s="10" t="inlineStr">
        <is>
          <t>F7 — 3/4 olhando a câmera</t>
        </is>
      </c>
      <c r="C99" s="10" t="inlineStr">
        <is>
          <t>Origem: foto #2 (azul royal, segundo modelo)</t>
        </is>
      </c>
      <c r="D99" s="10" t="inlineStr">
        <is>
          <t>Modelo A · Cor: `washed pale sky blue` · Formato: 4:5</t>
        </is>
      </c>
      <c r="E9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Three-quarter view, body turned toward the camera's right, head turned back to look at the camera, arms relaxed, left hand loose near the thigh. Framing from the head to upper thigh. CRITICAL: absolutely no text, no letters, no logos, no labels, no brand tags visible, no watermark, no graphic overlays, no icons. Plain garment exactly as described, correct anatomy, five fingers per hand.</t>
        </is>
      </c>
      <c r="F99" s="11" t="inlineStr">
        <is>
          <t>A gerar</t>
        </is>
      </c>
    </row>
    <row r="100" ht="300" customHeight="1">
      <c r="A100" s="10" t="inlineStr">
        <is>
          <t>P16</t>
        </is>
      </c>
      <c r="B100" s="10" t="inlineStr">
        <is>
          <t>F8 — Mãos juntas à frente, olhar lateral</t>
        </is>
      </c>
      <c r="C100" s="10" t="inlineStr">
        <is>
          <t>Origem: foto #6 (castanho, segundo modelo)</t>
        </is>
      </c>
      <c r="D100" s="10" t="inlineStr">
        <is>
          <t>Modelo A · Cor: `washed pale sky blue` · Formato: 4:5</t>
        </is>
      </c>
      <c r="E10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Three-quarter view, head turned to the camera's left with the eyes off-camera, both hands clasped loosely in front at hem height, gathering a little of the fabric. Framing from the head to upper thigh. CRITICAL: absolutely no text, no letters, no logos, no labels, no brand tags visible, no watermark, no graphic overlays, no icons. Plain garment exactly as described, correct anatomy, five fingers per hand.</t>
        </is>
      </c>
      <c r="F100" s="11" t="inlineStr">
        <is>
          <t>A gerar</t>
        </is>
      </c>
    </row>
    <row r="101" ht="300" customHeight="1">
      <c r="A101" s="10" t="inlineStr">
        <is>
          <t>P16</t>
        </is>
      </c>
      <c r="B101" s="10" t="inlineStr">
        <is>
          <t>F9 — Caminhando, mão na barra</t>
        </is>
      </c>
      <c r="C101" s="10" t="inlineStr">
        <is>
          <t>Origem: foto #10 (off white, segundo modelo)</t>
        </is>
      </c>
      <c r="D101" s="10" t="inlineStr">
        <is>
          <t>Modelo A · Cor: `washed pale sky blue` · Formato: 4:5</t>
        </is>
      </c>
      <c r="E10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Three-quarter walking pose, one leg stepping forward, head lowered with the eyes looking down to the camera's left, the right hand touching the front of the hem; the loose body swings slightly with the step. Framing from the head to upper thigh. CRITICAL: absolutely no text, no letters, no logos, no labels, no brand tags visible, no watermark, no graphic overlays, no icons. Plain garment exactly as described, correct anatomy, five fingers per hand.</t>
        </is>
      </c>
      <c r="F101" s="11" t="inlineStr">
        <is>
          <t>A gerar</t>
        </is>
      </c>
    </row>
    <row r="102" ht="300" customHeight="1">
      <c r="A102" s="10" t="inlineStr">
        <is>
          <t>P16</t>
        </is>
      </c>
      <c r="B102" s="10" t="inlineStr">
        <is>
          <t>F10 — 3/4 olhar para cima</t>
        </is>
      </c>
      <c r="C102" s="10" t="inlineStr">
        <is>
          <t>Origem: foto #13 (verde musgo, segundo modelo)</t>
        </is>
      </c>
      <c r="D102" s="10" t="inlineStr">
        <is>
          <t>Modelo A · Cor: `washed pale sky blue` · Formato: 4:5</t>
        </is>
      </c>
      <c r="E10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Three-quarter view, body turned toward the camera's left, head raised with the eyes looking up to the camera's right, one hand holding the hem at the front. Framing from the head to upper thigh. CRITICAL: absolutely no text, no letters, no logos, no labels, no brand tags visible, no watermark, no graphic overlays, no icons. Plain garment exactly as described, correct anatomy, five fingers per hand.</t>
        </is>
      </c>
      <c r="F102" s="11" t="inlineStr">
        <is>
          <t>A gerar</t>
        </is>
      </c>
    </row>
    <row r="103" ht="300" customHeight="1">
      <c r="A103" s="10" t="inlineStr">
        <is>
          <t>P16</t>
        </is>
      </c>
      <c r="B103" s="10" t="inlineStr">
        <is>
          <t>F11 — Em movimento, braço cruzando</t>
        </is>
      </c>
      <c r="C103" s="10" t="inlineStr">
        <is>
          <t>Origem: fotos #16 (cereja) e #19 (cereja escuro), segundo modelo</t>
        </is>
      </c>
      <c r="D103" s="10" t="inlineStr">
        <is>
          <t>Modelo A · Cor: `washed pale sky blue` · Formato: 4:5</t>
        </is>
      </c>
      <c r="E10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Three-quarter mid-movement pose, his right arm bent across the waist with a loose fist in front of the body, head turned to the camera's right, the left arm hanging. The wide sleeve and body ripple with the motion. Framing from the head to upper thigh. CRITICAL: absolutely no text, no letters, no logos, no labels, no brand tags visible, no watermark, no graphic overlays, no icons. Plain garment exactly as described, correct anatomy, five fingers per hand.</t>
        </is>
      </c>
      <c r="F103" s="11" t="inlineStr">
        <is>
          <t>A gerar</t>
        </is>
      </c>
    </row>
    <row r="104" ht="300" customHeight="1">
      <c r="A104" s="10" t="inlineStr">
        <is>
          <t>P16</t>
        </is>
      </c>
      <c r="B104" s="10" t="inlineStr">
        <is>
          <t>F12 — Mockup de personalização (versão HMZT)</t>
        </is>
      </c>
      <c r="C104" s="10" t="inlineStr">
        <is>
          <t>Origem: foto #3 (mockup do fornecedor com texto, camiseta preta sem lavagem) — refeito liso; banners #7, #23 e #24 não viram shot</t>
        </is>
      </c>
      <c r="D104" s="10" t="inlineStr">
        <is>
          <t>Modelo A · Cor: `washed pale sky blue` · Formato: 4:5</t>
        </is>
      </c>
      <c r="E10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an oversized short-sleeve t-shirt in 175gsm 100% combed cotton jersey (30/1 yarn) with a stone-washed vintage finish, washed pale sky blue, boxy wide body, dropped shoulders with the seam on the upper arm, wide short sleeves ending just above the elbow, 2x1 ribbed crew neck, straight hem below the hip, completely plain with no print, tucked out, paired with off-white cotton drawstring trousers with a black drawstring hanging at the front.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25 cm ending just above the elbow. Frontal view, torso square to the lens so the whole front panel is flat, smooth and unobstructed for compositing a print later, arms relaxed slightly away from the body, looking straight at the camera. Framing from the head to upper thigh, subject centered. CRITICAL: absolutely no text, no letters, no logos, no labels, no brand tags visible, no watermark, no graphic overlays, no icons. Plain garment exactly as described, correct anatomy, five fingers per hand.</t>
        </is>
      </c>
      <c r="F104" s="11" t="inlineStr">
        <is>
          <t>A gerar</t>
        </is>
      </c>
    </row>
    <row r="105" ht="300" customHeight="1">
      <c r="A105" s="10" t="inlineStr">
        <is>
          <t>P17</t>
        </is>
      </c>
      <c r="B105" s="10" t="inlineStr">
        <is>
          <t>F1 — 3/4 olhar lateral</t>
        </is>
      </c>
      <c r="C105" s="10" t="inlineStr">
        <is>
          <t>Origem: foto #1 (verde musgo)</t>
        </is>
      </c>
      <c r="D105" s="10" t="inlineStr">
        <is>
          <t>Modelo próprio · Cor: `washed moss green` · Formato: 4:5</t>
        </is>
      </c>
      <c r="E10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Three-quarter view, body turned slightly toward the camera's right, head turned to the camera's left with the eyes off-camera, arms hanging relaxed at the sides. The chest pocket is clearly visible on his left chest. Framing from the head to upper thigh. CRITICAL: absolutely no text, no letters, no logos, no labels, no brand tags visible, no watermark, no graphic overlays, no icons. Plain garment exactly as described, correct anatomy, five fingers per hand.</t>
        </is>
      </c>
      <c r="F105" s="11" t="inlineStr">
        <is>
          <t>A gerar</t>
        </is>
      </c>
    </row>
    <row r="106" ht="300" customHeight="1">
      <c r="A106" s="10" t="inlineStr">
        <is>
          <t>P17</t>
        </is>
      </c>
      <c r="B106" s="10" t="inlineStr">
        <is>
          <t>F2 — 3/4 sorrindo</t>
        </is>
      </c>
      <c r="C106" s="10" t="inlineStr">
        <is>
          <t>Origem: foto #2 (verde musgo)</t>
        </is>
      </c>
      <c r="D106" s="10" t="inlineStr">
        <is>
          <t>Modelo próprio · Cor: `washed moss green` · Formato: 4:5</t>
        </is>
      </c>
      <c r="E10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Three-quarter view, body turned toward the camera's left, head turned to the camera's right with a wide natural smile, eyes off-camera, arms relaxed. Framing from the head to upper thigh. CRITICAL: absolutely no text, no letters, no logos, no labels, no brand tags visible, no watermark, no graphic overlays, no icons. Plain garment exactly as described, correct anatomy, five fingers per hand.</t>
        </is>
      </c>
      <c r="F106" s="11" t="inlineStr">
        <is>
          <t>A gerar</t>
        </is>
      </c>
    </row>
    <row r="107" ht="300" customHeight="1">
      <c r="A107" s="10" t="inlineStr">
        <is>
          <t>P17</t>
        </is>
      </c>
      <c r="B107" s="10" t="inlineStr">
        <is>
          <t>F3 — Frontal olhar para cima</t>
        </is>
      </c>
      <c r="C107" s="10" t="inlineStr">
        <is>
          <t>Origem: foto #4 (verde musgo)</t>
        </is>
      </c>
      <c r="D107" s="10" t="inlineStr">
        <is>
          <t>Modelo próprio · Cor: `washed moss green` · Formato: 4:5</t>
        </is>
      </c>
      <c r="E10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Near-frontal view, head raised slightly with the eyes looking up to the camera's right and a subtle smile, arms relaxed at the sides. Framing from the head to upper thigh, pocket centered in the left chest. CRITICAL: absolutely no text, no letters, no logos, no labels, no brand tags visible, no watermark, no graphic overlays, no icons. Plain garment exactly as described, correct anatomy, five fingers per hand.</t>
        </is>
      </c>
      <c r="F107" s="11" t="inlineStr">
        <is>
          <t>A gerar</t>
        </is>
      </c>
    </row>
    <row r="108" ht="300" customHeight="1">
      <c r="A108" s="10" t="inlineStr">
        <is>
          <t>P17</t>
        </is>
      </c>
      <c r="B108" s="10" t="inlineStr">
        <is>
          <t>F4 — Frontal olhar para o lado</t>
        </is>
      </c>
      <c r="C108" s="10" t="inlineStr">
        <is>
          <t>Origem: foto #5 (azul)</t>
        </is>
      </c>
      <c r="D108" s="10" t="inlineStr">
        <is>
          <t>Modelo próprio · Cor: `washed moss green` · Formato: 4:5</t>
        </is>
      </c>
      <c r="E10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Near-frontal view, head turned to the camera's left, eyes looking slightly upward off-camera, arms relaxed and slightly away from the body. Framing from the head to upper thigh. CRITICAL: absolutely no text, no letters, no logos, no labels, no brand tags visible, no watermark, no graphic overlays, no icons. Plain garment exactly as described, correct anatomy, five fingers per hand.</t>
        </is>
      </c>
      <c r="F108" s="11" t="inlineStr">
        <is>
          <t>A gerar</t>
        </is>
      </c>
    </row>
    <row r="109" ht="300" customHeight="1">
      <c r="A109" s="10" t="inlineStr">
        <is>
          <t>P17</t>
        </is>
      </c>
      <c r="B109" s="10" t="inlineStr">
        <is>
          <t>F5 — 3/4 cabeça inclinada</t>
        </is>
      </c>
      <c r="C109" s="10" t="inlineStr">
        <is>
          <t>Origem: foto #7 (azul)</t>
        </is>
      </c>
      <c r="D109" s="10" t="inlineStr">
        <is>
          <t>Modelo próprio · Cor: `washed moss green` · Formato: 4:5</t>
        </is>
      </c>
      <c r="E10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Three-quarter view, weight on one leg, head tilted slightly, looking at the camera, arms relaxed. Framing from the head to upper thigh. CRITICAL: absolutely no text, no letters, no logos, no labels, no brand tags visible, no watermark, no graphic overlays, no icons. Plain garment exactly as described, correct anatomy, five fingers per hand.</t>
        </is>
      </c>
      <c r="F109" s="11" t="inlineStr">
        <is>
          <t>A gerar</t>
        </is>
      </c>
    </row>
    <row r="110" ht="300" customHeight="1">
      <c r="A110" s="10" t="inlineStr">
        <is>
          <t>P17</t>
        </is>
      </c>
      <c r="B110" s="10" t="inlineStr">
        <is>
          <t>F6 — 3/4 mão na barra, olhar baixo</t>
        </is>
      </c>
      <c r="C110" s="10" t="inlineStr">
        <is>
          <t>Origem: foto #8 (preto lavado)</t>
        </is>
      </c>
      <c r="D110" s="10" t="inlineStr">
        <is>
          <t>Modelo próprio · Cor: `washed moss green` · Formato: 4:5</t>
        </is>
      </c>
      <c r="E11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Three-quarter view, body turned toward the camera's left, head lowered with the eyes looking down to the camera's right, his right hand holding the front of the hem. Framing from the head to upper thigh. CRITICAL: absolutely no text, no letters, no logos, no labels, no brand tags visible, no watermark, no graphic overlays, no icons. Plain garment exactly as described, correct anatomy, five fingers per hand.</t>
        </is>
      </c>
      <c r="F110" s="11" t="inlineStr">
        <is>
          <t>A gerar</t>
        </is>
      </c>
    </row>
    <row r="111" ht="300" customHeight="1">
      <c r="A111" s="10" t="inlineStr">
        <is>
          <t>P17</t>
        </is>
      </c>
      <c r="B111" s="10" t="inlineStr">
        <is>
          <t>F7 — Frontal olhando a câmera</t>
        </is>
      </c>
      <c r="C111" s="10" t="inlineStr">
        <is>
          <t>Origem: foto #9 (preto lavado)</t>
        </is>
      </c>
      <c r="D111" s="10" t="inlineStr">
        <is>
          <t>Modelo próprio · Cor: `washed moss green` · Formato: 4:5</t>
        </is>
      </c>
      <c r="E11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Frontal view, standing straight, looking directly into the camera with a calm expression, arms relaxed at the sides. Framing from the head to upper thigh, subject centered. CRITICAL: absolutely no text, no letters, no logos, no labels, no brand tags visible, no watermark, no graphic overlays, no icons. Plain garment exactly as described, correct anatomy, five fingers per hand.</t>
        </is>
      </c>
      <c r="F111" s="11" t="inlineStr">
        <is>
          <t>A gerar</t>
        </is>
      </c>
    </row>
    <row r="112" ht="300" customHeight="1">
      <c r="A112" s="10" t="inlineStr">
        <is>
          <t>P17</t>
        </is>
      </c>
      <c r="B112" s="10" t="inlineStr">
        <is>
          <t>F8 — Mockup de personalização (versão HMZT)</t>
        </is>
      </c>
      <c r="C112" s="10" t="inlineStr">
        <is>
          <t>Origem: foto #3 (mockup do fornecedor com texto, camiseta preta sem bolso e sem lavagem) — refeito com bolso e frente lisa; banners #6, #10 e #11 não viram shot</t>
        </is>
      </c>
      <c r="D112" s="10" t="inlineStr">
        <is>
          <t>Modelo próprio · Cor: `washed moss green` · Formato: 4:5</t>
        </is>
      </c>
      <c r="E11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Brazilian man in his mid-30s, lean athletic build with defined arms, short dark brown-black tousled curly hair, dark moustache and short goatee with light stubble, no visible tattoos, relaxed natural expression. He wears an oversized short-sleeve t-shirt in 175gsm 100% combed cotton jersey (30/1 yarn) with a stone-washed vintage finish, washed moss green, boxy wide body, one square patch pocket on the left chest (wearer's left), dropped shoulders with the seam on the upper arm, wide short sleeves ending just above the elbow, 2x1 ribbed crew neck, straight hem below the hip, completely plain with no print, tucked out, paired with dark indigo straight-leg jeans. Fabric and construction: light-to-medium 175gsm 100% combed cotton single jersey (30/1 yarn), cut oversized, pre-shrunk and anti-torsion, soft and lived-in. The garment is stone-washed after sewing, so the fade is irregular and every piece looks slightly different: a soft, cloudy, mottled wash across the body; noticeably lighter, abraded color along every seam line, the folded edge of the ribbed collar, the shoulder seams, the sleeve hems and the bottom hem, where the stitching shows a pale faded halo; the flat center of the chest and back keeps a deeper tone. Tiny vintage puckering along the chain-stitched seams and double-needle hems. Dry, chalky, fully matte cotton surface with zero sheen. Because the fabric is light, the wide boxy body does not stand stiffly: it collapses gently from the dropped shoulders into long relaxed vertical folds and a few soft ripples at the sides. A square patch pocket (about 11 × 12 cm) is sewn on the left chest, with a double-stitched folded top edge; the pocket outline, its corners and its top fold are clearly lighter and more worn than the surrounding fabric, with a slightly wavy vintage pucker. 2x1 ribbed crew neck about 2.5 cm tall, lying flat, with a paler worn edge; shoulder-to-shoulder internal tape; the dropped shoulder seam sits well down the upper arm and also shows a faded line. Movement: fluid and airy — the loose body sways with the pose and the wide sleeves open and fall softly, with easy creases where a hand grabs the fabric. Oversized fit (size M on a 1.84 m, 84 kg man): body length 75 cm falling below the hip, chest width 59 cm — very loose and boxy, about 12 cm of ease — shoulder width 54 cm so the seam drops 4–5 cm onto the upper arm, wide sleeves 24 cm ending just above the elbow. Frontal view, torso square to the lens so the whole front panel is flat, smooth and unobstructed for compositing a print later, arms relaxed slightly away from the body, looking straight at the camera. Framing from the head to upper thigh, subject centered. The chest pocket stays plain, ready for a small embroidered logo. CRITICAL: absolutely no text, no letters, no logos, no labels, no brand tags visible, no watermark, no graphic overlays, no icons. Plain garment exactly as described, correct anatomy, five fingers per hand.</t>
        </is>
      </c>
      <c r="F112" s="11" t="inlineStr">
        <is>
          <t>A gerar</t>
        </is>
      </c>
    </row>
    <row r="113" ht="300" customHeight="1">
      <c r="A113" s="10" t="inlineStr">
        <is>
          <t>P18</t>
        </is>
      </c>
      <c r="B113" s="10" t="inlineStr">
        <is>
          <t>F1 — Frontal recortado (off-white)</t>
        </is>
      </c>
      <c r="C113" s="10" t="inlineStr">
        <is>
          <t>Origem: foto #1 da galeria (off-white, frontal, cabeça cortada na altura do nariz, braços soltos, jeans claro rasgado)</t>
        </is>
      </c>
      <c r="D113" s="10" t="inlineStr">
        <is>
          <t>Modelo A · Cor: `off-white` · Formato: 4:5</t>
        </is>
      </c>
      <c r="E11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off-white,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light-wash blue jeans with ripped distressing on the thighs.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Frontal view, torso square to the camera, arms hanging relaxed at the sides with a slight bend, several silver rings on both hands and a black beaded bracelet on his left wrist. The head is cropped just above the upper lip, so only the mouth, beard and chin are visible. Framing from the upper lip to mid-thigh, the ribbed front panel filling the frame, ribs perfectly vertical. CRITICAL: absolutely no text, no letters, no logos, no labels, no brand tags visible, no watermark, no graphic overlays, no icons. Plain garment exactly as described, correct anatomy, five fingers per hand.</t>
        </is>
      </c>
      <c r="F113" s="11" t="inlineStr">
        <is>
          <t>A gerar</t>
        </is>
      </c>
    </row>
    <row r="114" ht="300" customHeight="1">
      <c r="A114" s="10" t="inlineStr">
        <is>
          <t>P18</t>
        </is>
      </c>
      <c r="B114" s="10" t="inlineStr">
        <is>
          <t>F2 — Detalhe gola, ombro e manga (off-white)</t>
        </is>
      </c>
      <c r="C114" s="10" t="inlineStr">
        <is>
          <t>Origem: foto #2 da galeria (off-white, recorte dos lábios ao peito, gola e manga à direita)</t>
        </is>
      </c>
      <c r="D114" s="10" t="inlineStr">
        <is>
          <t>Modelo A · Cor: `off-white` · Formato: 4:5</t>
        </is>
      </c>
      <c r="E11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off-white,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light-wash blue jeans with ripped distressing on the thighs.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Tight detail crop from the lips and beard down to the mid chest, off-center so the collar band, the shoulder seam and the sleeve with its turned hem on his left arm fill the right side of the frame, the tattooed upper arm just emerging below the sleeve hem. Macro-level sharpness on the vertical rib columns and grooves, showing the contrast between the smooth collar band and the ribbed body. CRITICAL: absolutely no text, no letters, no logos, no labels, no brand tags visible, no watermark, no graphic overlays, no icons. Plain garment exactly as described, correct anatomy, five fingers per hand.</t>
        </is>
      </c>
      <c r="F114" s="11" t="inlineStr">
        <is>
          <t>A gerar</t>
        </is>
      </c>
    </row>
    <row r="115" ht="300" customHeight="1">
      <c r="A115" s="10" t="inlineStr">
        <is>
          <t>P18</t>
        </is>
      </c>
      <c r="B115" s="10" t="inlineStr">
        <is>
          <t>F3 — 3/4 ajustando o bracelete (off-white)</t>
        </is>
      </c>
      <c r="C115" s="10" t="inlineStr">
        <is>
          <t>Origem: foto #3 da galeria (off-white, leve 3/4, rosto cortado no nariz, mão direita segurando o pulso esquerdo)</t>
        </is>
      </c>
      <c r="D115" s="10" t="inlineStr">
        <is>
          <t>Modelo A · Cor: `off-white` · Formato: 4:5</t>
        </is>
      </c>
      <c r="E11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off-white,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light-wash blue jeans with ripped distressing on the thighs.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Slight three-quarter view, body turned a little to the camera's right, head cropped at the nose. His right hand crosses in front of the waist and grips his left wrist, adjusting a black leather bracelet, silver rings on the fingers; the ribs bend slightly around the torso as it turns. Framing from the nose to mid-thigh. CRITICAL: absolutely no text, no letters, no logos, no labels, no brand tags visible, no watermark, no graphic overlays, no icons. Plain garment exactly as described, correct anatomy, five fingers per hand.</t>
        </is>
      </c>
      <c r="F115" s="11" t="inlineStr">
        <is>
          <t>A gerar</t>
        </is>
      </c>
    </row>
    <row r="116" ht="300" customHeight="1">
      <c r="A116" s="10" t="inlineStr">
        <is>
          <t>P18</t>
        </is>
      </c>
      <c r="B116" s="10" t="inlineStr">
        <is>
          <t>F4 — Frontal braços soltos (marrom)</t>
        </is>
      </c>
      <c r="C116" s="10" t="inlineStr">
        <is>
          <t>Origem: foto #4 da galeria (marrom-chocolate, frontal, olhar para a câmera, calça off-white) — para reproduzir, troque a cor por 'dark chocolate brown' e a calça por 'off-white cream straight trousers'</t>
        </is>
      </c>
      <c r="D116" s="10" t="inlineStr">
        <is>
          <t>Modelo A · Cor: `dark chocolate brown` · Formato: 4:5</t>
        </is>
      </c>
      <c r="E11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dark chocolate brown,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off-white cream straight trousers.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Near-frontal view with a very slight turn to the camera's left, looking straight into the camera with a calm serious expression, arms relaxed at the sides, black beaded bracelets on his left wrist. Framing from the top of the head to upper thigh, subject centered. CRITICAL: absolutely no text, no letters, no logos, no labels, no brand tags visible, no watermark, no graphic overlays, no icons. Plain garment exactly as described, correct anatomy, five fingers per hand.</t>
        </is>
      </c>
      <c r="F116" s="11" t="inlineStr">
        <is>
          <t>A gerar</t>
        </is>
      </c>
    </row>
    <row r="117" ht="300" customHeight="1">
      <c r="A117" s="10" t="inlineStr">
        <is>
          <t>P18</t>
        </is>
      </c>
      <c r="B117" s="10" t="inlineStr">
        <is>
          <t>F5 — Frontal mãos juntas (marrom)</t>
        </is>
      </c>
      <c r="C117" s="10" t="inlineStr">
        <is>
          <t>Origem: foto #5 da galeria (marrom, frontal, mãos juntas na cintura) — cor original 'dark chocolate brown', calça off-white</t>
        </is>
      </c>
      <c r="D117" s="10" t="inlineStr">
        <is>
          <t>Modelo A · Cor: `dark chocolate brown` · Formato: 4:5</t>
        </is>
      </c>
      <c r="E11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dark chocolate brown,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off-white cream straight trousers.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Frontal view, head very slightly tilted, looking into the camera. Both hands meet in front of the waist, his right hand loosely holding the fingers of his left hand, rings and black bracelets visible; the hem sits straight across the hips. Framing from the head to upper thigh. CRITICAL: absolutely no text, no letters, no logos, no labels, no brand tags visible, no watermark, no graphic overlays, no icons. Plain garment exactly as described, correct anatomy, five fingers per hand.</t>
        </is>
      </c>
      <c r="F117" s="11" t="inlineStr">
        <is>
          <t>A gerar</t>
        </is>
      </c>
    </row>
    <row r="118" ht="300" customHeight="1">
      <c r="A118" s="10" t="inlineStr">
        <is>
          <t>P18</t>
        </is>
      </c>
      <c r="B118" s="10" t="inlineStr">
        <is>
          <t>F6 — Detalhe pinçando a manga (marrom)</t>
        </is>
      </c>
      <c r="C118" s="10" t="inlineStr">
        <is>
          <t>Origem: foto #6 da galeria (marrom, recorte da boca ao peito, mão pinçando a barra da manga)</t>
        </is>
      </c>
      <c r="D118" s="10" t="inlineStr">
        <is>
          <t>Modelo A · Cor: `dark chocolate brown` · Formato: 4:5</t>
        </is>
      </c>
      <c r="E11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dark chocolate brown,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light-wash blue jeans with ripped distressing on the thighs.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Tight detail crop from the lips down to the chest, collar and shoulder at the top. His right hand reaches across and pinches the hem of the left sleeve between thumb and index finger, a silver signet ring with a black stone on the finger; the ribs fan open around the pinch. Tattooed forearm in the lower right. Macro-level sharpness on the rib texture. CRITICAL: absolutely no text, no letters, no logos, no labels, no brand tags visible, no watermark, no graphic overlays, no icons. Plain garment exactly as described, correct anatomy, five fingers per hand.</t>
        </is>
      </c>
      <c r="F118" s="11" t="inlineStr">
        <is>
          <t>A gerar</t>
        </is>
      </c>
    </row>
    <row r="119" ht="300" customHeight="1">
      <c r="A119" s="10" t="inlineStr">
        <is>
          <t>P18</t>
        </is>
      </c>
      <c r="B119" s="10" t="inlineStr">
        <is>
          <t>F7 — Frontal braços soltos (preto)</t>
        </is>
      </c>
      <c r="C119" s="10" t="inlineStr">
        <is>
          <t>Origem: foto #7 da galeria (preto, frontal, braços soltos, calça off-white) — cor original 'black'</t>
        </is>
      </c>
      <c r="D119" s="10" t="inlineStr">
        <is>
          <t>Modelo A · Cor: `black` · Formato: 4:5</t>
        </is>
      </c>
      <c r="E11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black,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off-white cream straight trousers.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Frontal view, standing straight, arms hanging relaxed with hands near the thighs, rings on the fingers and black bracelets on his left wrist, looking straight into the camera. Framing from the head to upper thigh. CRITICAL: absolutely no text, no letters, no logos, no labels, no brand tags visible, no watermark, no graphic overlays, no icons. Plain garment exactly as described, correct anatomy, five fingers per hand.</t>
        </is>
      </c>
      <c r="F119" s="11" t="inlineStr">
        <is>
          <t>A gerar</t>
        </is>
      </c>
    </row>
    <row r="120" ht="300" customHeight="1">
      <c r="A120" s="10" t="inlineStr">
        <is>
          <t>P18</t>
        </is>
      </c>
      <c r="B120" s="10" t="inlineStr">
        <is>
          <t>F8 — Detalhe gola e ombro (preto)</t>
        </is>
      </c>
      <c r="C120" s="10" t="inlineStr">
        <is>
          <t>Origem: foto #8 da galeria (preto, recorte do nariz ao peito, gola, ombro e manga)</t>
        </is>
      </c>
      <c r="D120" s="10" t="inlineStr">
        <is>
          <t>Modelo A · Cor: `black` · Formato: 4:5</t>
        </is>
      </c>
      <c r="E12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black,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light-wash blue jeans with ripped distressing on the thighs.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Tight detail crop from the nose and beard down to the chest, collar band at the top left and the shoulder and sleeve with its turned hem on the right, tattooed upper arm below the hem. Soft light grazing the ribs so the tone-on-tone vertical columns are clearly readable. Macro-level sharpness. CRITICAL: absolutely no text, no letters, no logos, no labels, no brand tags visible, no watermark, no graphic overlays, no icons. Plain garment exactly as described, correct anatomy, five fingers per hand.</t>
        </is>
      </c>
      <c r="F120" s="11" t="inlineStr">
        <is>
          <t>A gerar</t>
        </is>
      </c>
    </row>
    <row r="121" ht="300" customHeight="1">
      <c r="A121" s="10" t="inlineStr">
        <is>
          <t>P18</t>
        </is>
      </c>
      <c r="B121" s="10" t="inlineStr">
        <is>
          <t>F9 — Mão no pescoço (preto)</t>
        </is>
      </c>
      <c r="C121" s="10" t="inlineStr">
        <is>
          <t>Origem: foto #9 da galeria (preto, mão direita erguida tocando o pescoço, cotovelo para fora)</t>
        </is>
      </c>
      <c r="D121" s="10" t="inlineStr">
        <is>
          <t>Modelo A · Cor: `black` · Formato: 4:5</t>
        </is>
      </c>
      <c r="E12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black,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off-white cream straight trousers.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Frontal view, looking into the camera. His right arm is raised with the elbow pointing out to the side and the fingertips touching the side of his neck near the jaw, showing the tattooed forearm; the left arm hangs relaxed with black bracelets. The raised arm lifts the sleeve and the ribs curve over the shoulder. Framing from the head to upper thigh. CRITICAL: absolutely no text, no letters, no logos, no labels, no brand tags visible, no watermark, no graphic overlays, no icons. Plain garment exactly as described, correct anatomy, five fingers per hand.</t>
        </is>
      </c>
      <c r="F121" s="11" t="inlineStr">
        <is>
          <t>A gerar</t>
        </is>
      </c>
    </row>
    <row r="122" ht="300" customHeight="1">
      <c r="A122" s="10" t="inlineStr">
        <is>
          <t>P18</t>
        </is>
      </c>
      <c r="B122" s="10" t="inlineStr">
        <is>
          <t>F10 — Macro da textura</t>
        </is>
      </c>
      <c r="C122" s="10" t="inlineStr">
        <is>
          <t>Origem: derivado dos detalhes #2, #6 e #8 — close só do tecido para mostrar o canelado</t>
        </is>
      </c>
      <c r="D122" s="10" t="inlineStr">
        <is>
          <t>Modelo A · Cor: `off-white` · Formato: 4:5</t>
        </is>
      </c>
      <c r="E12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wide-rib textured knit (52% cotton / 48% polyester), off-white, the entire body and sleeves covered in raised vertical rib columns about 4–6 mm wide separated by narrow recessed grooves about 2–3 mm wide, running perfectly straight from the shoulder seam to the hem, the column widths varying slightly in an irregular rhythm, each column showing a fine horizontal stitch grain like a knitted sweater, fully matte surface, set-in shoulders, short sleeves ending mid-bicep with a turned double-stitched hem and the ribs continuing vertically down the sleeve, medium-width smooth flat crew-neck band (not ribbed) in the same color, straight double-stitched hem at the hip, fully opaque, tucked out, paired with light-wash blue jeans with ripped distressing on the thighs. Fabric and construction: medium-weight 240gsm wide-rib knit with body and structure — the vertical columns act like a light internal frame, so the front hangs in long flat vertical planes and the side seams drop straight; the fabric rests on the ribs rather than clinging to the chest or stomach. Under the soft key light each raised column is lit on its top face while the grooves fall into thin shadow, producing a rhythm of parallel vertical light-and-shadow lines: on light colors they read as soft gray pinstripes, on dark colors as a subtle tone-on-tone ribbed stripe. Completely matte, no sheen. The smooth, clean collar band contrasts with the ribbed body; reinforced seams; turned double-stitched sleeve and bottom hems; anti-torsion finish keeps the ribs running perfectly vertical with no twist. Movement: folds form along the rib direction — at the armpit and waist the columns curve gently and gather into a few soft vertical pleats; where fingers pinch the sleeve, the ribs spread open like a fan and reveal the grooves, then spring back. Fit on the model (size M on a 1.84 m, 84 kg man): body length 72 cm ending at the hip, chest width 54 cm giving 2–4 cm of relaxed ease, shoulder width 46 cm with the shoulder seam sitting exactly on the shoulder point, sleeve length 18 cm ending mid-bicep. The textured knit has little stretch, so the silhouette stays clean and regular, and the vertical ribs visually lengthen the torso. Extreme macro close-up so tight that only the fabric of the chest panel is visible, filling the whole frame, no face, no hands. Soft raking light from the upper left reveals the raised vertical rib columns about 4–6 mm wide, their fine horizontal stitch grain, and the narrow 2–3 mm grooves in thin shadow between them. Tack-sharp edge to edge. CRITICAL: absolutely no text, no letters, no logos, no labels, no brand tags visible, no watermark, no graphic overlays, no icons. Plain garment exactly as described, correct anatomy, five fingers per hand.</t>
        </is>
      </c>
      <c r="F122" s="11" t="inlineStr">
        <is>
          <t>A gerar</t>
        </is>
      </c>
    </row>
    <row r="123" ht="300" customHeight="1">
      <c r="A123" s="10" t="inlineStr">
        <is>
          <t>P19</t>
        </is>
      </c>
      <c r="B123" s="10" t="inlineStr">
        <is>
          <t>F1 — Hero 3/4 olhar para o lado (cinza)</t>
        </is>
      </c>
      <c r="C123" s="10" t="inlineStr">
        <is>
          <t>Origem: foto #1 da galeria (cinza, 3/4, olhar para baixo e para o lado, mãos ajustando o bracelete, jeans)</t>
        </is>
      </c>
      <c r="D123" s="10" t="inlineStr">
        <is>
          <t>Modelo A · Cor: `light pearl gray` · Formato: 4:5</t>
        </is>
      </c>
      <c r="E12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light pearl gray,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light-wash blue jeans with ripped distressing.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Three-quarter view, body turned toward the camera's right, head turned to the camera's left with eyes looking down and off-camera. His hands meet in front of the waist, the right hand adjusting black braided bracelets on the left wrist, a silver ring visible. The satin channels catch highlights along the turned side of the torso. Framing from the head to upper thigh. CRITICAL: absolutely no text, no letters, no logos, no labels, no brand tags visible, no watermark, no graphic overlays, no icons. Plain garment exactly as described, correct anatomy, five fingers per hand.</t>
        </is>
      </c>
      <c r="F123" s="11" t="inlineStr">
        <is>
          <t>A gerar</t>
        </is>
      </c>
    </row>
    <row r="124" ht="300" customHeight="1">
      <c r="A124" s="10" t="inlineStr">
        <is>
          <t>P19</t>
        </is>
      </c>
      <c r="B124" s="10" t="inlineStr">
        <is>
          <t>F2 — Detalhe gola, ombro e manga (cinza)</t>
        </is>
      </c>
      <c r="C124" s="10" t="inlineStr">
        <is>
          <t>Origem: foto #2 da galeria (cinza, recorte dos lábios ao peito)</t>
        </is>
      </c>
      <c r="D124" s="10" t="inlineStr">
        <is>
          <t>Modelo A · Cor: `light pearl gray` · Formato: 4:5</t>
        </is>
      </c>
      <c r="E12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light pearl gray,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light-wash blue jeans with ripped distressing.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Tight detail crop from the lips and beard down to the mid chest, collar band at the top and the shoulder and sleeve with its turned hem on the right of the frame, tattooed upper arm below the hem. Macro-level sharpness on the evenly spaced vertical channels and the contrast between the matte collar band and the soft sheen of the body. CRITICAL: absolutely no text, no letters, no logos, no labels, no brand tags visible, no watermark, no graphic overlays, no icons. Plain garment exactly as described, correct anatomy, five fingers per hand.</t>
        </is>
      </c>
      <c r="F124" s="11" t="inlineStr">
        <is>
          <t>A gerar</t>
        </is>
      </c>
    </row>
    <row r="125" ht="300" customHeight="1">
      <c r="A125" s="10" t="inlineStr">
        <is>
          <t>P19</t>
        </is>
      </c>
      <c r="B125" s="10" t="inlineStr">
        <is>
          <t>F3 — Frontal braços soltos (cinza)</t>
        </is>
      </c>
      <c r="C125" s="10" t="inlineStr">
        <is>
          <t>Origem: foto #3 da galeria (cinza, frontal, olhar para a câmera, jeans)</t>
        </is>
      </c>
      <c r="D125" s="10" t="inlineStr">
        <is>
          <t>Modelo A · Cor: `light pearl gray` · Formato: 4:5</t>
        </is>
      </c>
      <c r="E12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light pearl gray,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light-wash blue jeans with ripped distressing.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Frontal view, standing straight, arms relaxed at the sides, black bracelets on his left wrist, looking straight into the camera. Channels perfectly vertical and symmetrical on the chest. Framing from the head to upper thigh. CRITICAL: absolutely no text, no letters, no logos, no labels, no brand tags visible, no watermark, no graphic overlays, no icons. Plain garment exactly as described, correct anatomy, five fingers per hand.</t>
        </is>
      </c>
      <c r="F125" s="11" t="inlineStr">
        <is>
          <t>A gerar</t>
        </is>
      </c>
    </row>
    <row r="126" ht="300" customHeight="1">
      <c r="A126" s="10" t="inlineStr">
        <is>
          <t>P19</t>
        </is>
      </c>
      <c r="B126" s="10" t="inlineStr">
        <is>
          <t>F4 — 3/4 cabeça inclinada (preto)</t>
        </is>
      </c>
      <c r="C126" s="10" t="inlineStr">
        <is>
          <t>Origem: foto #4 da galeria (preto, leve 3/4, cabeça inclinada, calça off-white) — cor original 'black', calça 'off-white cream straight trousers'</t>
        </is>
      </c>
      <c r="D126" s="10" t="inlineStr">
        <is>
          <t>Modelo A · Cor: `black` · Formato: 4:5</t>
        </is>
      </c>
      <c r="E12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black,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off-white cream straight trousers.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Slight three-quarter view, torso turned a little to the camera's left, head tilted, looking into the camera with a confident expression. His left hand rests against the outer thigh near the pocket, the right arm relaxed; black bracelets on the left wrist. Framing from the head to upper thigh. CRITICAL: absolutely no text, no letters, no logos, no labels, no brand tags visible, no watermark, no graphic overlays, no icons. Plain garment exactly as described, correct anatomy, five fingers per hand.</t>
        </is>
      </c>
      <c r="F126" s="11" t="inlineStr">
        <is>
          <t>A gerar</t>
        </is>
      </c>
    </row>
    <row r="127" ht="300" customHeight="1">
      <c r="A127" s="10" t="inlineStr">
        <is>
          <t>P19</t>
        </is>
      </c>
      <c r="B127" s="10" t="inlineStr">
        <is>
          <t>F5 — Frontal braços soltos (preto)</t>
        </is>
      </c>
      <c r="C127" s="10" t="inlineStr">
        <is>
          <t>Origem: foto #5 da galeria (preto, frontal) — cor original 'black', calça off-white</t>
        </is>
      </c>
      <c r="D127" s="10" t="inlineStr">
        <is>
          <t>Modelo A · Cor: `black` · Formato: 4:5</t>
        </is>
      </c>
      <c r="E12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black,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off-white cream straight trousers.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Frontal view, standing straight, arms hanging relaxed, looking straight into the camera, black bracelets on the left wrist. Soft satin highlights running down each vertical channel. Framing from the head to upper thigh. CRITICAL: absolutely no text, no letters, no logos, no labels, no brand tags visible, no watermark, no graphic overlays, no icons. Plain garment exactly as described, correct anatomy, five fingers per hand.</t>
        </is>
      </c>
      <c r="F127" s="11" t="inlineStr">
        <is>
          <t>A gerar</t>
        </is>
      </c>
    </row>
    <row r="128" ht="300" customHeight="1">
      <c r="A128" s="10" t="inlineStr">
        <is>
          <t>P19</t>
        </is>
      </c>
      <c r="B128" s="10" t="inlineStr">
        <is>
          <t>F6 — Detalhe gola e ombro (preto)</t>
        </is>
      </c>
      <c r="C128" s="10" t="inlineStr">
        <is>
          <t>Origem: foto #6 da galeria (preto, recorte dos lábios ao peito, colar fino no pescoço)</t>
        </is>
      </c>
      <c r="D128" s="10" t="inlineStr">
        <is>
          <t>Modelo A · Cor: `black` · Formato: 4:5</t>
        </is>
      </c>
      <c r="E12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black,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light-wash blue jeans with ripped distressing.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Tight detail crop from the lips down to the chest, a thin dark cord necklace at the collar, collar band at the top and the shoulder and sleeve on the right with the tattooed arm below the hem. Light grazing across the channels so the dark satin reflections alternate with the black grooves. Macro-level sharpness. CRITICAL: absolutely no text, no letters, no logos, no labels, no brand tags visible, no watermark, no graphic overlays, no icons. Plain garment exactly as described, correct anatomy, five fingers per hand.</t>
        </is>
      </c>
      <c r="F128" s="11" t="inlineStr">
        <is>
          <t>A gerar</t>
        </is>
      </c>
    </row>
    <row r="129" ht="300" customHeight="1">
      <c r="A129" s="10" t="inlineStr">
        <is>
          <t>P19</t>
        </is>
      </c>
      <c r="B129" s="10" t="inlineStr">
        <is>
          <t>F7 — 3/4 olhar baixo, mãos na cintura (preto)</t>
        </is>
      </c>
      <c r="C129" s="10" t="inlineStr">
        <is>
          <t>Origem: foto #7 da galeria (preto, 3/4, olhar para baixo, mãos juntas ajustando o bracelete)</t>
        </is>
      </c>
      <c r="D129" s="10" t="inlineStr">
        <is>
          <t>Modelo A · Cor: `black` · Formato: 4:5</t>
        </is>
      </c>
      <c r="E12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black,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off-white cream straight trousers.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Three-quarter view, body turned to the camera's left, head lowered with eyes looking down to the side. Both hands meet in front of the waist, fingers adjusting the bracelets on the left wrist, silver rings visible. Framing from the head to mid-thigh. CRITICAL: absolutely no text, no letters, no logos, no labels, no brand tags visible, no watermark, no graphic overlays, no icons. Plain garment exactly as described, correct anatomy, five fingers per hand.</t>
        </is>
      </c>
      <c r="F129" s="11" t="inlineStr">
        <is>
          <t>A gerar</t>
        </is>
      </c>
    </row>
    <row r="130" ht="300" customHeight="1">
      <c r="A130" s="10" t="inlineStr">
        <is>
          <t>P19</t>
        </is>
      </c>
      <c r="B130" s="10" t="inlineStr">
        <is>
          <t>F8 — Macro da textura</t>
        </is>
      </c>
      <c r="C130" s="10" t="inlineStr">
        <is>
          <t>Origem: derivado dos detalhes #2 e #6 — close só do tecido para mostrar canais e brilho</t>
        </is>
      </c>
      <c r="D130" s="10" t="inlineStr">
        <is>
          <t>Modelo A · Cor: `light pearl gray` · Formato: 4:5</t>
        </is>
      </c>
      <c r="E13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plissé-rib textured knit (52% cotton / 48% polyester), light pearl gray, the entire body and sleeves covered in very regular vertical flat-topped channels about 5–8 mm wide separated by crisp, fine sunken lines, like pressed pleats, running perfectly straight from shoulder to hem and down the sleeves, the channel faces smooth with a soft satin sheen, set-in shoulders, short sleeves ending mid-bicep with a turned double-stitched hem, medium-width smooth matte crew-neck band (no ribbing) in the same color, straight double-stitched hem at the hip, fully opaque, tucked out, paired with light-wash blue jeans with ripped distressing. Fabric and construction: medium-weight 240gsm knit with a crisp, orderly vertical channel structure — the channels are wider and more uniform than a standard rib, and each flat face reflects light like satin while the fine grooves between them stay dark, creating evenly spaced vertical lines of highlight and shadow. The sheen is soft and semi-lustrous, never metallic or plastic: seen straight on, the shirt looks deep and structured, and where the torso turns away from the light the channels catch a gradient of satin highlights. On light gray the grooves read as fine graphite lines; on black the channels glow with dark satin reflections. The matte collar band contrasts with the sheen of the body; reinforced seams, turned double-stitched hems, anti-torsion finish keeping the channels perfectly vertical. Movement: the structure makes the fabric fold along the channels — soft vertical pleats form at the sides of the waist and under the arm, and the highlights slide across the channels as the body turns. Fit on the model (size M on a 1.84 m, 84 kg man): body length 72 cm ending at the hip, chest width 54 cm giving 2–4 cm of relaxed ease, shoulder width 46 cm with the shoulder seam sitting exactly on the shoulder point, sleeve length 18 cm ending mid-bicep. Little stretch: the silhouette stays regular and the vertical channels visually lengthen the torso. Extreme macro close-up so tight that only the fabric of the chest panel is visible, filling the whole frame, no face, no hands. Soft raking light from the upper left shows flat vertical channels 5–8 mm wide with a soft satin sheen on each face and crisp dark sunken lines between them, the highlight fading gently across the frame. Tack-sharp edge to edge. CRITICAL: absolutely no text, no letters, no logos, no labels, no brand tags visible, no watermark, no graphic overlays, no icons. Plain garment exactly as described, correct anatomy, five fingers per hand.</t>
        </is>
      </c>
      <c r="F130" s="11" t="inlineStr">
        <is>
          <t>A gerar</t>
        </is>
      </c>
    </row>
    <row r="131" ht="300" customHeight="1">
      <c r="A131" s="10" t="inlineStr">
        <is>
          <t>P20</t>
        </is>
      </c>
      <c r="B131" s="10" t="inlineStr">
        <is>
          <t>F1 — Hero 3/4 mãos juntas (preto)</t>
        </is>
      </c>
      <c r="C131" s="10" t="inlineStr">
        <is>
          <t>Origem: foto #1 da galeria (preto-azulado, leve 3/4, cabeça inclinada, mãos juntas na cintura, calça off-white)</t>
        </is>
      </c>
      <c r="D131" s="10" t="inlineStr">
        <is>
          <t>Modelo A · Cor: `deep blue-black` · Formato: 4:5</t>
        </is>
      </c>
      <c r="E13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deep blue-black,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Slight three-quarter view, body turned a little to the camera's right, head tilted, looking into the camera with a calm expression. His hands meet in front of the waist, the right hand holding the left wrist over black braided bracelets, silver rings visible. Framing from the head to upper thigh. CRITICAL: absolutely no text, no letters, no logos, no labels, no brand tags visible, no watermark, no graphic overlays, no icons. Plain garment exactly as described, correct anatomy, five fingers per hand.</t>
        </is>
      </c>
      <c r="F131" s="11" t="inlineStr">
        <is>
          <t>A gerar</t>
        </is>
      </c>
    </row>
    <row r="132" ht="300" customHeight="1">
      <c r="A132" s="10" t="inlineStr">
        <is>
          <t>P20</t>
        </is>
      </c>
      <c r="B132" s="10" t="inlineStr">
        <is>
          <t>F2 — Detalhe gola e manga (preto)</t>
        </is>
      </c>
      <c r="C132" s="10" t="inlineStr">
        <is>
          <t>Origem: foto #2 da galeria (preto, recorte dos lábios ao peito)</t>
        </is>
      </c>
      <c r="D132" s="10" t="inlineStr">
        <is>
          <t>Modelo A · Cor: `deep blue-black` · Formato: 4:5</t>
        </is>
      </c>
      <c r="E13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deep blue-black,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Tight detail crop from the lips and beard down to the chest, collar band with its topstitch at the top, shoulder and sleeve with turned hem on the right, tattooed upper arm below. Light grazing from the left so the fine horizontal micro-ridges become visible as a soft grain. Macro-level sharpness. CRITICAL: absolutely no text, no letters, no logos, no labels, no brand tags visible, no watermark, no graphic overlays, no icons. Plain garment exactly as described, correct anatomy, five fingers per hand.</t>
        </is>
      </c>
      <c r="F132" s="11" t="inlineStr">
        <is>
          <t>A gerar</t>
        </is>
      </c>
    </row>
    <row r="133" ht="300" customHeight="1">
      <c r="A133" s="10" t="inlineStr">
        <is>
          <t>P20</t>
        </is>
      </c>
      <c r="B133" s="10" t="inlineStr">
        <is>
          <t>F3 — Frontal olhar para o lado (preto)</t>
        </is>
      </c>
      <c r="C133" s="10" t="inlineStr">
        <is>
          <t>Origem: foto #3 da galeria (preto, frontal, cabeça virada para a direita da câmera)</t>
        </is>
      </c>
      <c r="D133" s="10" t="inlineStr">
        <is>
          <t>Modelo A · Cor: `deep blue-black` · Formato: 4:5</t>
        </is>
      </c>
      <c r="E13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deep blue-black,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Frontal view, torso square to the camera, arms relaxed at the sides, head turned to the camera's right with eyes looking off-camera, black bracelets on his left wrist. Framing from the head to upper thigh. CRITICAL: absolutely no text, no letters, no logos, no labels, no brand tags visible, no watermark, no graphic overlays, no icons. Plain garment exactly as described, correct anatomy, five fingers per hand.</t>
        </is>
      </c>
      <c r="F133" s="11" t="inlineStr">
        <is>
          <t>A gerar</t>
        </is>
      </c>
    </row>
    <row r="134" ht="300" customHeight="1">
      <c r="A134" s="10" t="inlineStr">
        <is>
          <t>P20</t>
        </is>
      </c>
      <c r="B134" s="10" t="inlineStr">
        <is>
          <t>F4 — Frontal braços soltos (marrom)</t>
        </is>
      </c>
      <c r="C134" s="10" t="inlineStr">
        <is>
          <t>Origem: foto #4 da galeria (marrom, frontal, cabeça levemente inclinada) — cor original 'dark chocolate brown'</t>
        </is>
      </c>
      <c r="D134" s="10" t="inlineStr">
        <is>
          <t>Modelo A · Cor: `dark chocolate brown` · Formato: 4:5</t>
        </is>
      </c>
      <c r="E13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dark chocolate brown,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Frontal view, head slightly tilted, eyes to the camera, arms hanging relaxed with a slight bend, black bracelets on the left wrist. Framing from the head to upper thigh. CRITICAL: absolutely no text, no letters, no logos, no labels, no brand tags visible, no watermark, no graphic overlays, no icons. Plain garment exactly as described, correct anatomy, five fingers per hand.</t>
        </is>
      </c>
      <c r="F134" s="11" t="inlineStr">
        <is>
          <t>A gerar</t>
        </is>
      </c>
    </row>
    <row r="135" ht="300" customHeight="1">
      <c r="A135" s="10" t="inlineStr">
        <is>
          <t>P20</t>
        </is>
      </c>
      <c r="B135" s="10" t="inlineStr">
        <is>
          <t>F5 — Detalhe gola e ombro (marrom)</t>
        </is>
      </c>
      <c r="C135" s="10" t="inlineStr">
        <is>
          <t>Origem: foto #5 da galeria (marrom, recorte do nariz ao peito)</t>
        </is>
      </c>
      <c r="D135" s="10" t="inlineStr">
        <is>
          <t>Modelo A · Cor: `dark chocolate brown` · Formato: 4:5</t>
        </is>
      </c>
      <c r="E13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dark chocolate brown,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Tight detail crop from the nose and lips down to the chest, collar band centered at the top, shoulder and sleeve with turned hem on the right, tattoo below the hem. Macro-level sharpness on the horizontal micro-ridges, visible as fine tonal lines on the dark brown. CRITICAL: absolutely no text, no letters, no logos, no labels, no brand tags visible, no watermark, no graphic overlays, no icons. Plain garment exactly as described, correct anatomy, five fingers per hand.</t>
        </is>
      </c>
      <c r="F135" s="11" t="inlineStr">
        <is>
          <t>A gerar</t>
        </is>
      </c>
    </row>
    <row r="136" ht="300" customHeight="1">
      <c r="A136" s="10" t="inlineStr">
        <is>
          <t>P20</t>
        </is>
      </c>
      <c r="B136" s="10" t="inlineStr">
        <is>
          <t>F6 — Frontal mãos juntas (marrom)</t>
        </is>
      </c>
      <c r="C136" s="10" t="inlineStr">
        <is>
          <t>Origem: foto #6 da galeria (marrom, frontal, mãos juntas na cintura)</t>
        </is>
      </c>
      <c r="D136" s="10" t="inlineStr">
        <is>
          <t>Modelo A · Cor: `dark chocolate brown` · Formato: 4:5</t>
        </is>
      </c>
      <c r="E13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dark chocolate brown,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Frontal view, looking straight into the camera. Both hands meet in front of the lower waist, fingers interlaced loosely, silver rings and black bracelets visible. Framing from the head to upper thigh. CRITICAL: absolutely no text, no letters, no logos, no labels, no brand tags visible, no watermark, no graphic overlays, no icons. Plain garment exactly as described, correct anatomy, five fingers per hand.</t>
        </is>
      </c>
      <c r="F136" s="11" t="inlineStr">
        <is>
          <t>A gerar</t>
        </is>
      </c>
    </row>
    <row r="137" ht="300" customHeight="1">
      <c r="A137" s="10" t="inlineStr">
        <is>
          <t>P20</t>
        </is>
      </c>
      <c r="B137" s="10" t="inlineStr">
        <is>
          <t>F7 — 3/4 pinçando a manga (marrom)</t>
        </is>
      </c>
      <c r="C137" s="10" t="inlineStr">
        <is>
          <t>Origem: foto #7 da galeria (marrom, 3/4 inclinado para a câmera, mão pinçando a manga esquerda)</t>
        </is>
      </c>
      <c r="D137" s="10" t="inlineStr">
        <is>
          <t>Modelo A · Cor: `dark chocolate brown` · Formato: 4:5</t>
        </is>
      </c>
      <c r="E13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dark chocolate brown,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Three-quarter view, body turned to the camera's left and leaning slightly toward the lens, head tilted, looking into the camera. His right hand crosses the body and pinches the hem of the left sleeve, the left forearm bent across the torso showing its tattoos; the micro-ridges curve into the fold. Framing from the head to upper thigh. CRITICAL: absolutely no text, no letters, no logos, no labels, no brand tags visible, no watermark, no graphic overlays, no icons. Plain garment exactly as described, correct anatomy, five fingers per hand.</t>
        </is>
      </c>
      <c r="F137" s="11" t="inlineStr">
        <is>
          <t>A gerar</t>
        </is>
      </c>
    </row>
    <row r="138" ht="300" customHeight="1">
      <c r="A138" s="10" t="inlineStr">
        <is>
          <t>P20</t>
        </is>
      </c>
      <c r="B138" s="10" t="inlineStr">
        <is>
          <t>F8 — Polegares nos bolsos (off-white)</t>
        </is>
      </c>
      <c r="C138" s="10" t="inlineStr">
        <is>
          <t>Origem: foto #8 da galeria (off-white, rosto cortado no nariz, polegares nos bolsos do jeans) — cor original 'off-white', calça 'light-wash ripped blue jeans'</t>
        </is>
      </c>
      <c r="D138" s="10" t="inlineStr">
        <is>
          <t>Modelo A · Cor: `off-white` · Formato: 4:5</t>
        </is>
      </c>
      <c r="E13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off-white,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light-wash blue jeans with ripped distressing.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Slight three-quarter view, head cropped at the nose. Both thumbs hooked into the front pockets of the trousers, fingers relaxed outside, rings visible, black bracelets on the left wrist; the hem sits over the waistband. Framing from the nose to mid-thigh. CRITICAL: absolutely no text, no letters, no logos, no labels, no brand tags visible, no watermark, no graphic overlays, no icons. Plain garment exactly as described, correct anatomy, five fingers per hand.</t>
        </is>
      </c>
      <c r="F138" s="11" t="inlineStr">
        <is>
          <t>A gerar</t>
        </is>
      </c>
    </row>
    <row r="139" ht="300" customHeight="1">
      <c r="A139" s="10" t="inlineStr">
        <is>
          <t>P20</t>
        </is>
      </c>
      <c r="B139" s="10" t="inlineStr">
        <is>
          <t>F9 — Ajustando o bracelete (off-white)</t>
        </is>
      </c>
      <c r="C139" s="10" t="inlineStr">
        <is>
          <t>Origem: foto #9 da galeria (off-white, rosto cortado no nariz, mãos ajustando o bracelete)</t>
        </is>
      </c>
      <c r="D139" s="10" t="inlineStr">
        <is>
          <t>Modelo A · Cor: `off-white` · Formato: 4:5</t>
        </is>
      </c>
      <c r="E13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off-white,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light-wash blue jeans with ripped distressing.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Near-frontal view, head cropped at the nose. His right hand adjusts the black bracelets on the left wrist in front of the waist, silver rings visible, shoulders relaxed. Framing from the nose to mid-thigh. CRITICAL: absolutely no text, no letters, no logos, no labels, no brand tags visible, no watermark, no graphic overlays, no icons. Plain garment exactly as described, correct anatomy, five fingers per hand.</t>
        </is>
      </c>
      <c r="F139" s="11" t="inlineStr">
        <is>
          <t>A gerar</t>
        </is>
      </c>
    </row>
    <row r="140" ht="300" customHeight="1">
      <c r="A140" s="10" t="inlineStr">
        <is>
          <t>P20</t>
        </is>
      </c>
      <c r="B140" s="10" t="inlineStr">
        <is>
          <t>F10 — Detalhe gola e manga (off-white)</t>
        </is>
      </c>
      <c r="C140" s="10" t="inlineStr">
        <is>
          <t>Origem: foto #10 da galeria (off-white, recorte dos lábios ao peito)</t>
        </is>
      </c>
      <c r="D140" s="10" t="inlineStr">
        <is>
          <t>Modelo A · Cor: `off-white` · Formato: 4:5</t>
        </is>
      </c>
      <c r="E14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off-white,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Tight detail crop from the lips and beard down to the chest, collar band at the top, shoulder and sleeve with turned hem on the right, tattooed arm below. On the light fabric the horizontal micro-ridges read clearly as fine tonal lines. Macro-level sharpness. CRITICAL: absolutely no text, no letters, no logos, no labels, no brand tags visible, no watermark, no graphic overlays, no icons. Plain garment exactly as described, correct anatomy, five fingers per hand.</t>
        </is>
      </c>
      <c r="F140" s="11" t="inlineStr">
        <is>
          <t>A gerar</t>
        </is>
      </c>
    </row>
    <row r="141" ht="300" customHeight="1">
      <c r="A141" s="10" t="inlineStr">
        <is>
          <t>P20</t>
        </is>
      </c>
      <c r="B141" s="10" t="inlineStr">
        <is>
          <t>F11 — Detalhe gola e manga (azul)</t>
        </is>
      </c>
      <c r="C141" s="10" t="inlineStr">
        <is>
          <t>Origem: foto #11 da galeria (azul lavanda, recorte do nariz ao peito) — cor original 'soft periwinkle lavender blue'</t>
        </is>
      </c>
      <c r="D141" s="10" t="inlineStr">
        <is>
          <t>Modelo A · Cor: `soft periwinkle lavender blue` · Formato: 4:5</t>
        </is>
      </c>
      <c r="E14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soft periwinkle lavender blue,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Tight detail crop from the nose down to the chest, collar band with visible topstitch at the top, shoulder and sleeve on the right with the tattooed arm below the hem. The micro-ridges give the color a subtle two-tone depth. Macro-level sharpness. CRITICAL: absolutely no text, no letters, no logos, no labels, no brand tags visible, no watermark, no graphic overlays, no icons. Plain garment exactly as described, correct anatomy, five fingers per hand.</t>
        </is>
      </c>
      <c r="F141" s="11" t="inlineStr">
        <is>
          <t>A gerar</t>
        </is>
      </c>
    </row>
    <row r="142" ht="300" customHeight="1">
      <c r="A142" s="10" t="inlineStr">
        <is>
          <t>P20</t>
        </is>
      </c>
      <c r="B142" s="10" t="inlineStr">
        <is>
          <t>F12 — Frontal mãos juntas (azul)</t>
        </is>
      </c>
      <c r="C142" s="10" t="inlineStr">
        <is>
          <t>Origem: foto #12 da galeria (azul, frontal, mãos juntas na frente)</t>
        </is>
      </c>
      <c r="D142" s="10" t="inlineStr">
        <is>
          <t>Modelo A · Cor: `soft periwinkle lavender blue` · Formato: 4:5</t>
        </is>
      </c>
      <c r="E14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soft periwinkle lavender blue,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Frontal view, looking straight into the camera. Hands meet in front of the lower waist, the right hand holding the fingers of the left, rings and black bracelets visible. Framing from the head to upper thigh. CRITICAL: absolutely no text, no letters, no logos, no labels, no brand tags visible, no watermark, no graphic overlays, no icons. Plain garment exactly as described, correct anatomy, five fingers per hand.</t>
        </is>
      </c>
      <c r="F142" s="11" t="inlineStr">
        <is>
          <t>A gerar</t>
        </is>
      </c>
    </row>
    <row r="143" ht="300" customHeight="1">
      <c r="A143" s="10" t="inlineStr">
        <is>
          <t>P20</t>
        </is>
      </c>
      <c r="B143" s="10" t="inlineStr">
        <is>
          <t>F13 — Leve 3/4 olhar para o lado (azul)</t>
        </is>
      </c>
      <c r="C143" s="10" t="inlineStr">
        <is>
          <t>Origem: foto #13 da galeria (azul, leve 3/4, olhar para a esquerda da câmera)</t>
        </is>
      </c>
      <c r="D143" s="10" t="inlineStr">
        <is>
          <t>Modelo A · Cor: `soft periwinkle lavender blue` · Formato: 4:5</t>
        </is>
      </c>
      <c r="E14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soft periwinkle lavender blue,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Slight three-quarter view, body turned a little to the camera's right, head turned toward the camera's left with eyes looking off-camera. His right hand touches the bracelets on the left wrist at hip height, the left arm hanging relaxed. Framing from the head to upper thigh. CRITICAL: absolutely no text, no letters, no logos, no labels, no brand tags visible, no watermark, no graphic overlays, no icons. Plain garment exactly as described, correct anatomy, five fingers per hand.</t>
        </is>
      </c>
      <c r="F143" s="11" t="inlineStr">
        <is>
          <t>A gerar</t>
        </is>
      </c>
    </row>
    <row r="144" ht="300" customHeight="1">
      <c r="A144" s="10" t="inlineStr">
        <is>
          <t>P20</t>
        </is>
      </c>
      <c r="B144" s="10" t="inlineStr">
        <is>
          <t>F14 — Frontal braços soltos (verde)</t>
        </is>
      </c>
      <c r="C144" s="10" t="inlineStr">
        <is>
          <t>Origem: foto #14 da galeria (verde-oliva acinzentado, frontal) — cor original 'muted gray-olive green'</t>
        </is>
      </c>
      <c r="D144" s="10" t="inlineStr">
        <is>
          <t>Modelo A · Cor: `muted gray-olive green` · Formato: 4:5</t>
        </is>
      </c>
      <c r="E14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muted gray-olive green,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Frontal view, standing straight, arms relaxed at the sides, looking straight into the camera, black bracelets on the left wrist. Framing from the head to upper thigh. CRITICAL: absolutely no text, no letters, no logos, no labels, no brand tags visible, no watermark, no graphic overlays, no icons. Plain garment exactly as described, correct anatomy, five fingers per hand.</t>
        </is>
      </c>
      <c r="F144" s="11" t="inlineStr">
        <is>
          <t>A gerar</t>
        </is>
      </c>
    </row>
    <row r="145" ht="300" customHeight="1">
      <c r="A145" s="10" t="inlineStr">
        <is>
          <t>P20</t>
        </is>
      </c>
      <c r="B145" s="10" t="inlineStr">
        <is>
          <t>F15 — Detalhe gola e ombro (verde)</t>
        </is>
      </c>
      <c r="C145" s="10" t="inlineStr">
        <is>
          <t>Origem: foto #15 da galeria (verde, recorte do nariz ao peito)</t>
        </is>
      </c>
      <c r="D145" s="10" t="inlineStr">
        <is>
          <t>Modelo A · Cor: `muted gray-olive green` · Formato: 4:5</t>
        </is>
      </c>
      <c r="E14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muted gray-olive green,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Tight detail crop from the nose and lips down to the chest, collar band at the top, shoulder and sleeve on the right with tattooed arm below. Macro-level sharpness on the fine horizontal micro-ridges. CRITICAL: absolutely no text, no letters, no logos, no labels, no brand tags visible, no watermark, no graphic overlays, no icons. Plain garment exactly as described, correct anatomy, five fingers per hand.</t>
        </is>
      </c>
      <c r="F145" s="11" t="inlineStr">
        <is>
          <t>A gerar</t>
        </is>
      </c>
    </row>
    <row r="146" ht="300" customHeight="1">
      <c r="A146" s="10" t="inlineStr">
        <is>
          <t>P20</t>
        </is>
      </c>
      <c r="B146" s="10" t="inlineStr">
        <is>
          <t>F16 — Macro da textura</t>
        </is>
      </c>
      <c r="C146" s="10" t="inlineStr">
        <is>
          <t>Origem: derivado dos detalhes #2, #10 e #15 — close só do tecido para mostrar a micro-ondulação</t>
        </is>
      </c>
      <c r="D146" s="10" t="inlineStr">
        <is>
          <t>Modelo A · Cor: `deep blue-black` · Formato: 4:5</t>
        </is>
      </c>
      <c r="E14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micro-ripple textured knit (52% cotton / 48% polyester), deep blue-black, the entire surface covered in very fine horizontal micro-ridges about 1–2 mm apart, alternating tiny raised ribs and flat bands like a miniature ottoman, running straight across the chest, back and sleeves; from a distance it reads almost as a smooth solid knit, up close the dense horizontal lines are clearly visible; fully matte, set-in shoulders, short sleeves ending mid-bicep with a turned double-stitched hem, medium-width smooth crew-neck band with a single topstitch line, straight double-stitched hem at the hip, fully opaque, tucked out, paired with off-white cream straight trousers. Fabric and construction: medium-weight 240gsm micro-textured knit — denser and more substantial than plain jersey, with a clean regular drape that skims the torso without clinging. The horizontal micro-ridges create a fine striation that the soft light turns into subtle depth: a delicate gradient of tiny parallel shadow lines, strongest on the shoulder curve and the sides of the torso where the surface turns away from the light, almost invisible on the flat center front. Matte, no sheen — a luminous flat look, not shine. On off-white and light colors the lines read as a faint tonal ribbing; on black and dark brown they appear only as a soft grain. Smooth clean collar band with a topstitch; reinforced seams; turned double-stitched sleeve and bottom hems; anti-torsion finish keeping the ridges perfectly horizontal and level across the body. Movement: the ridges bend smoothly with the fabric — where the arm bends or the hand pulls the sleeve, the lines curve and compress into soft rounded folds rather than sharp wrinkles. Fit on the model (size M on a 1.84 m, 84 kg man): body length 72 cm ending at the hip, chest width 54 cm giving 2–4 cm of relaxed ease, shoulder width 46 cm with the shoulder seam sitting exactly on the shoulder point, sleeve length 18 cm ending mid-bicep. Little stretch: clean regular silhouette, the horizontal lines staying level across the chest. Extreme macro close-up so tight that only the fabric of the chest panel is visible, filling the whole frame, no face, no hands. Soft raking light from the left reveals dense horizontal micro-ridges about 1–2 mm apart, alternating tiny raised ribs and flat bands, perfectly level, with a fine shadow line under each ridge. Matte. Tack-sharp edge to edge. CRITICAL: absolutely no text, no letters, no logos, no labels, no brand tags visible, no watermark, no graphic overlays, no icons. Plain garment exactly as described, correct anatomy, five fingers per hand.</t>
        </is>
      </c>
      <c r="F146" s="11" t="inlineStr">
        <is>
          <t>A gerar</t>
        </is>
      </c>
    </row>
    <row r="147" ht="300" customHeight="1">
      <c r="A147" s="10" t="inlineStr">
        <is>
          <t>P21</t>
        </is>
      </c>
      <c r="B147" s="10" t="inlineStr">
        <is>
          <t>F1 — Frontal olhar para o lado (bege)</t>
        </is>
      </c>
      <c r="C147" s="10" t="inlineStr">
        <is>
          <t>Origem: foto #1 da galeria (bege, frontal, cabeça virada para a direita da câmera, jeans)</t>
        </is>
      </c>
      <c r="D147" s="10" t="inlineStr">
        <is>
          <t>Modelo A · Cor: `light sand beige` · Formato: 4:5</t>
        </is>
      </c>
      <c r="E14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light sand beige,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Frontal view, torso square to the camera, arms relaxed at the sides with a slight bend, head turned to the camera's right with eyes looking off-camera, black bracelets on his left wrist, a silver ring. Framing from the head to upper thigh. CRITICAL: absolutely no text, no letters, no logos, no labels, no brand tags visible, no watermark, no graphic overlays, no icons. Plain garment exactly as described, correct anatomy, five fingers per hand.</t>
        </is>
      </c>
      <c r="F147" s="11" t="inlineStr">
        <is>
          <t>A gerar</t>
        </is>
      </c>
    </row>
    <row r="148" ht="300" customHeight="1">
      <c r="A148" s="10" t="inlineStr">
        <is>
          <t>P21</t>
        </is>
      </c>
      <c r="B148" s="10" t="inlineStr">
        <is>
          <t>F2 — 3/4 ajustando o bracelete (bege)</t>
        </is>
      </c>
      <c r="C148" s="10" t="inlineStr">
        <is>
          <t>Origem: foto #2 da galeria (bege, 3/4, cabeça inclinada, mãos na cintura)</t>
        </is>
      </c>
      <c r="D148" s="10" t="inlineStr">
        <is>
          <t>Modelo A · Cor: `light sand beige` · Formato: 4:5</t>
        </is>
      </c>
      <c r="E14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light sand beige,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Three-quarter view, body turned to the camera's left, head tilted, eyes toward the camera. His right hand crosses the waist to adjust the black bracelets on the left wrist, a silver ring visible. Framing from the head to upper thigh. CRITICAL: absolutely no text, no letters, no logos, no labels, no brand tags visible, no watermark, no graphic overlays, no icons. Plain garment exactly as described, correct anatomy, five fingers per hand.</t>
        </is>
      </c>
      <c r="F148" s="11" t="inlineStr">
        <is>
          <t>A gerar</t>
        </is>
      </c>
    </row>
    <row r="149" ht="300" customHeight="1">
      <c r="A149" s="10" t="inlineStr">
        <is>
          <t>P21</t>
        </is>
      </c>
      <c r="B149" s="10" t="inlineStr">
        <is>
          <t>F3 — Detalhe gola e manga (bege)</t>
        </is>
      </c>
      <c r="C149" s="10" t="inlineStr">
        <is>
          <t>Origem: foto #3 da galeria (bege, recorte dos lábios ao peito, colar fino)</t>
        </is>
      </c>
      <c r="D149" s="10" t="inlineStr">
        <is>
          <t>Modelo A · Cor: `light sand beige` · Formato: 4:5</t>
        </is>
      </c>
      <c r="E14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light sand beige,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Tight detail crop from the lips and beard down to the chest, a thin cord necklace, collar band at the top, shoulder and sleeve with turned hem on the right and the tattooed upper arm below. Macro-level sharpness on the horizontal bands of tiny raised cells alternating with smooth bands. CRITICAL: absolutely no text, no letters, no logos, no labels, no brand tags visible, no watermark, no graphic overlays, no icons. Plain garment exactly as described, correct anatomy, five fingers per hand.</t>
        </is>
      </c>
      <c r="F149" s="11" t="inlineStr">
        <is>
          <t>A gerar</t>
        </is>
      </c>
    </row>
    <row r="150" ht="300" customHeight="1">
      <c r="A150" s="10" t="inlineStr">
        <is>
          <t>P21</t>
        </is>
      </c>
      <c r="B150" s="10" t="inlineStr">
        <is>
          <t>F4 — Detalhe gola e manga (preto)</t>
        </is>
      </c>
      <c r="C150" s="10" t="inlineStr">
        <is>
          <t>Origem: foto #4 da galeria (preto, recorte dos lábios ao peito) — cor original 'black', calça 'off-white cream straight trousers'</t>
        </is>
      </c>
      <c r="D150" s="10" t="inlineStr">
        <is>
          <t>Modelo A · Cor: `black` · Formato: 4:5</t>
        </is>
      </c>
      <c r="E15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black,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Tight detail crop from the lips down to the chest, collar band at the top, shoulder and sleeve on the right with the tattooed arm below the hem. Soft grazing light makes the dotted relief bands readable tone-on-tone on the dark fabric. Macro-level sharpness. CRITICAL: absolutely no text, no letters, no logos, no labels, no brand tags visible, no watermark, no graphic overlays, no icons. Plain garment exactly as described, correct anatomy, five fingers per hand.</t>
        </is>
      </c>
      <c r="F150" s="11" t="inlineStr">
        <is>
          <t>A gerar</t>
        </is>
      </c>
    </row>
    <row r="151" ht="300" customHeight="1">
      <c r="A151" s="10" t="inlineStr">
        <is>
          <t>P21</t>
        </is>
      </c>
      <c r="B151" s="10" t="inlineStr">
        <is>
          <t>F5 — 3/4 mão no bolso (preto)</t>
        </is>
      </c>
      <c r="C151" s="10" t="inlineStr">
        <is>
          <t>Origem: foto #5 da galeria (preto, 3/4, mão esquerda no bolso, calça off-white)</t>
        </is>
      </c>
      <c r="D151" s="10" t="inlineStr">
        <is>
          <t>Modelo A · Cor: `black` · Formato: 4:5</t>
        </is>
      </c>
      <c r="E15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black,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off-white cream straight trousers.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Three-quarter view, body turned to the camera's left, looking into the camera with a slight head tilt. His left hand is tucked into the trouser pocket, the right arm relaxed; black bracelets on the left wrist. Framing from the head to upper thigh. CRITICAL: absolutely no text, no letters, no logos, no labels, no brand tags visible, no watermark, no graphic overlays, no icons. Plain garment exactly as described, correct anatomy, five fingers per hand.</t>
        </is>
      </c>
      <c r="F151" s="11" t="inlineStr">
        <is>
          <t>A gerar</t>
        </is>
      </c>
    </row>
    <row r="152" ht="300" customHeight="1">
      <c r="A152" s="10" t="inlineStr">
        <is>
          <t>P21</t>
        </is>
      </c>
      <c r="B152" s="10" t="inlineStr">
        <is>
          <t>F6 — 3/4 pinçando a manga (preto)</t>
        </is>
      </c>
      <c r="C152" s="10" t="inlineStr">
        <is>
          <t>Origem: foto #6 da galeria (preto, 3/4 inclinado, mão pinçando a manga esquerda)</t>
        </is>
      </c>
      <c r="D152" s="10" t="inlineStr">
        <is>
          <t>Modelo A · Cor: `black` · Formato: 4:5</t>
        </is>
      </c>
      <c r="E15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black,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off-white cream straight trousers.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Three-quarter view, body turned to the camera's right and leaning slightly toward the lens, looking into the camera. His right hand crosses the body and pinches the hem of the left sleeve, the tattooed left forearm bent across the torso; the stripes curve into the fold. Framing from the head to upper thigh. CRITICAL: absolutely no text, no letters, no logos, no labels, no brand tags visible, no watermark, no graphic overlays, no icons. Plain garment exactly as described, correct anatomy, five fingers per hand.</t>
        </is>
      </c>
      <c r="F152" s="11" t="inlineStr">
        <is>
          <t>A gerar</t>
        </is>
      </c>
    </row>
    <row r="153" ht="300" customHeight="1">
      <c r="A153" s="10" t="inlineStr">
        <is>
          <t>P21</t>
        </is>
      </c>
      <c r="B153" s="10" t="inlineStr">
        <is>
          <t>F7 — Detalhe gola e manga (off-white)</t>
        </is>
      </c>
      <c r="C153" s="10" t="inlineStr">
        <is>
          <t>Origem: foto #7 da galeria (off-white, recorte dos lábios ao peito)</t>
        </is>
      </c>
      <c r="D153" s="10" t="inlineStr">
        <is>
          <t>Modelo A · Cor: `off-white` · Formato: 4:5</t>
        </is>
      </c>
      <c r="E15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off-white,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Tight detail crop from the lips and beard down to the chest, collar band at the top, shoulder and sleeve with turned hem on the right, tattooed arm below. On the light fabric each raised band of tiny cells shows as a fine dotted line of shadow. Macro-level sharpness. CRITICAL: absolutely no text, no letters, no logos, no labels, no brand tags visible, no watermark, no graphic overlays, no icons. Plain garment exactly as described, correct anatomy, five fingers per hand.</t>
        </is>
      </c>
      <c r="F153" s="11" t="inlineStr">
        <is>
          <t>A gerar</t>
        </is>
      </c>
    </row>
    <row r="154" ht="300" customHeight="1">
      <c r="A154" s="10" t="inlineStr">
        <is>
          <t>P21</t>
        </is>
      </c>
      <c r="B154" s="10" t="inlineStr">
        <is>
          <t>F8 — Mãos juntas rosto cortado (off-white)</t>
        </is>
      </c>
      <c r="C154" s="10" t="inlineStr">
        <is>
          <t>Origem: foto #8 da galeria (off-white, rosto cortado no nariz, mãos juntas na cintura, jeans)</t>
        </is>
      </c>
      <c r="D154" s="10" t="inlineStr">
        <is>
          <t>Modelo A · Cor: `off-white` · Formato: 4:5</t>
        </is>
      </c>
      <c r="E15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off-white,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Near-frontal view, head cropped at the nose. Both hands meet in front of the waist, the right hand holding the left wrist over black bracelets, silver rings visible. Framing from the nose to mid-thigh. CRITICAL: absolutely no text, no letters, no logos, no labels, no brand tags visible, no watermark, no graphic overlays, no icons. Plain garment exactly as described, correct anatomy, five fingers per hand.</t>
        </is>
      </c>
      <c r="F154" s="11" t="inlineStr">
        <is>
          <t>A gerar</t>
        </is>
      </c>
    </row>
    <row r="155" ht="300" customHeight="1">
      <c r="A155" s="10" t="inlineStr">
        <is>
          <t>P21</t>
        </is>
      </c>
      <c r="B155" s="10" t="inlineStr">
        <is>
          <t>F9 — Frontal mãos atrás (off-white)</t>
        </is>
      </c>
      <c r="C155" s="10" t="inlineStr">
        <is>
          <t>Origem: foto #9 da galeria (off-white, frontal, braços levemente para trás)</t>
        </is>
      </c>
      <c r="D155" s="10" t="inlineStr">
        <is>
          <t>Modelo A · Cor: `off-white` · Formato: 4:5</t>
        </is>
      </c>
      <c r="E15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off-white,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Frontal view, standing straight, both arms held slightly behind the body with the hands out of sight at the lower back, chest open, looking straight into the camera. The stripes run perfectly level across the chest. Framing from the head to upper thigh. CRITICAL: absolutely no text, no letters, no logos, no labels, no brand tags visible, no watermark, no graphic overlays, no icons. Plain garment exactly as described, correct anatomy, five fingers per hand.</t>
        </is>
      </c>
      <c r="F155" s="11" t="inlineStr">
        <is>
          <t>A gerar</t>
        </is>
      </c>
    </row>
    <row r="156" ht="300" customHeight="1">
      <c r="A156" s="10" t="inlineStr">
        <is>
          <t>P21</t>
        </is>
      </c>
      <c r="B156" s="10" t="inlineStr">
        <is>
          <t>F10 — Macro da textura</t>
        </is>
      </c>
      <c r="C156" s="10" t="inlineStr">
        <is>
          <t>Origem: derivado dos detalhes #3, #4 e #7 — close só do tecido</t>
        </is>
      </c>
      <c r="D156" s="10" t="inlineStr">
        <is>
          <t>Modelo A · Cor: `light sand beige` · Formato: 4:5</t>
        </is>
      </c>
      <c r="E15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textured knit (52% cotton / 48% polyester), light sand beige, with tone-on-tone horizontal stripes of texture across the whole body and sleeves: smooth flat jersey bands about 8–10 mm tall alternating with slightly raised textured bands about 3–5 mm tall made of two or three tight rows of tiny bobble-like cells (a seed-stitch / popcorn micro-cell texture, like a knitted waffle), fully matte, set-in shoulders, short sleeves ending mid-bicep with a turned double-stitched hem, medium-width smooth crew-neck band, straight double-stitched hem at the hip, fully opaque, tucked out, paired with light-wash blue jeans with ripped distressing. Fabric and construction: medium-weight 240gsm knit with a tactile, hand-knit look — the raised cell bands give the surface an organic horizontal rhythm, like artisanal tricot produced industrially. Under the soft light the tiny cells catch individual pinpoint highlights and cast micro-shadows, so each textured band reads as a fine dotted relief line, while the smooth bands between them stay flat and even; the stripes are created only by texture, never by a color change. Matte, no sheen. Clean regular drape that neither clings nor balloons. Smooth collar band; reinforced seams; turned double-stitched hems; anti-torsion finish keeping the stripes perfectly level and parallel all around the body, continuing across the sleeves. Movement: where the arm bends or the fabric is pinched, the horizontal stripes curve and gather gently, the cells compress and the relief becomes more pronounced inside the fold. Fit on the model (size M on a 1.84 m, 84 kg man): body length 72 cm ending at the hip, chest width 54 cm giving 2–4 cm of relaxed ease, shoulder width 46 cm with the shoulder seam sitting exactly on the shoulder point, sleeve length 18 cm ending mid-bicep. Little stretch: the stripes stay straight and level across the chest. Extreme macro close-up so tight that only the fabric of the chest panel is visible, filling the whole frame, no face, no hands. Soft raking light from the upper left reveals horizontal bands of two or three rows of tiny raised bobble cells, 3–5 mm tall, alternating with smooth flat jersey bands 8–10 mm tall, each cell casting a pinpoint shadow. Matte. Tack-sharp edge to edge. CRITICAL: absolutely no text, no letters, no logos, no labels, no brand tags visible, no watermark, no graphic overlays, no icons. Plain garment exactly as described, correct anatomy, five fingers per hand.</t>
        </is>
      </c>
      <c r="F156" s="11" t="inlineStr">
        <is>
          <t>A gerar</t>
        </is>
      </c>
    </row>
    <row r="157" ht="300" customHeight="1">
      <c r="A157" s="10" t="inlineStr">
        <is>
          <t>P22</t>
        </is>
      </c>
      <c r="B157" s="10" t="inlineStr">
        <is>
          <t>F1 — Frontal braços soltos (azul)</t>
        </is>
      </c>
      <c r="C157" s="10" t="inlineStr">
        <is>
          <t>Origem: foto #1 da galeria (azul, frontal, olhar para a câmera, jeans claro)</t>
        </is>
      </c>
      <c r="D157" s="10" t="inlineStr">
        <is>
          <t>Modelo A · Cor: `vivid medium cornflower blue` · Formato: 4:5</t>
        </is>
      </c>
      <c r="E15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vivid medium cornflower blue,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Frontal view, standing straight, arms hanging relaxed at the sides with a slight bend, looking straight into the camera, black bracelets on his left wrist and silver rings. Framing from the head to upper thigh. CRITICAL: absolutely no text, no letters, no logos, no labels, no brand tags visible, no watermark, no graphic overlays, no icons. Plain garment exactly as described, correct anatomy, five fingers per hand.</t>
        </is>
      </c>
      <c r="F157" s="11" t="inlineStr">
        <is>
          <t>A gerar</t>
        </is>
      </c>
    </row>
    <row r="158" ht="300" customHeight="1">
      <c r="A158" s="10" t="inlineStr">
        <is>
          <t>P22</t>
        </is>
      </c>
      <c r="B158" s="10" t="inlineStr">
        <is>
          <t>F2 — Detalhe gola com pesponto (azul)</t>
        </is>
      </c>
      <c r="C158" s="10" t="inlineStr">
        <is>
          <t>Origem: foto #2 da galeria (azul, recorte dos lábios ao peito, gola lisa com pesponto)</t>
        </is>
      </c>
      <c r="D158" s="10" t="inlineStr">
        <is>
          <t>Modelo A · Cor: `vivid medium cornflower blue` · Formato: 4:5</t>
        </is>
      </c>
      <c r="E15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vivid medium cornflower blue,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Tight detail crop from the lips and beard down to the chest, a thin cord necklace, the smooth collar band with its single topstitch line at the top, shoulder and sleeve with turned hem on the right and the tattooed upper arm below. Macro-level sharpness on the micro-diamond piqué grid. CRITICAL: absolutely no text, no letters, no logos, no labels, no brand tags visible, no watermark, no graphic overlays, no icons. Plain garment exactly as described, correct anatomy, five fingers per hand.</t>
        </is>
      </c>
      <c r="F158" s="11" t="inlineStr">
        <is>
          <t>A gerar</t>
        </is>
      </c>
    </row>
    <row r="159" ht="300" customHeight="1">
      <c r="A159" s="10" t="inlineStr">
        <is>
          <t>P22</t>
        </is>
      </c>
      <c r="B159" s="10" t="inlineStr">
        <is>
          <t>F3 — Olhar baixo pinçando a manga (azul)</t>
        </is>
      </c>
      <c r="C159" s="10" t="inlineStr">
        <is>
          <t>Origem: foto #3 da galeria (azul, cabeça baixa, mão pinçando a manga esquerda)</t>
        </is>
      </c>
      <c r="D159" s="10" t="inlineStr">
        <is>
          <t>Modelo A · Cor: `vivid medium cornflower blue` · Formato: 4:5</t>
        </is>
      </c>
      <c r="E15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vivid medium cornflower blue,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Slight three-quarter view, head bowed with eyes looking down at his arm. His right hand crosses the body and pinches the hem of the left sleeve, a black signet ring on the finger, the left forearm bent across the torso showing its tattoos. Framing from the head to upper thigh. CRITICAL: absolutely no text, no letters, no logos, no labels, no brand tags visible, no watermark, no graphic overlays, no icons. Plain garment exactly as described, correct anatomy, five fingers per hand.</t>
        </is>
      </c>
      <c r="F159" s="11" t="inlineStr">
        <is>
          <t>A gerar</t>
        </is>
      </c>
    </row>
    <row r="160" ht="300" customHeight="1">
      <c r="A160" s="10" t="inlineStr">
        <is>
          <t>P22</t>
        </is>
      </c>
      <c r="B160" s="10" t="inlineStr">
        <is>
          <t>F4 — Frontal mão no bolso (branco)</t>
        </is>
      </c>
      <c r="C160" s="10" t="inlineStr">
        <is>
          <t>Origem: foto #4 da galeria (branco, leve 3/4, mão esquerda no bolso) — cor original 'bright white'</t>
        </is>
      </c>
      <c r="D160" s="10" t="inlineStr">
        <is>
          <t>Modelo A · Cor: `bright white` · Formato: 4:5</t>
        </is>
      </c>
      <c r="E16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bright white,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Near-frontal view with a slight turn to the camera's right, looking into the camera. His left hand is tucked into the front jeans pocket, the right arm relaxed at the side, black bracelets on the left wrist. Framing from the head to upper thigh. CRITICAL: absolutely no text, no letters, no logos, no labels, no brand tags visible, no watermark, no graphic overlays, no icons. Plain garment exactly as described, correct anatomy, five fingers per hand.</t>
        </is>
      </c>
      <c r="F160" s="11" t="inlineStr">
        <is>
          <t>A gerar</t>
        </is>
      </c>
    </row>
    <row r="161" ht="300" customHeight="1">
      <c r="A161" s="10" t="inlineStr">
        <is>
          <t>P22</t>
        </is>
      </c>
      <c r="B161" s="10" t="inlineStr">
        <is>
          <t>F5 — Detalhe mão pinçando a manga (branco)</t>
        </is>
      </c>
      <c r="C161" s="10" t="inlineStr">
        <is>
          <t>Origem: foto #5 da galeria (branco, recorte dos lábios ao peito, mão pinçando a barra da manga, anel de sinete)</t>
        </is>
      </c>
      <c r="D161" s="10" t="inlineStr">
        <is>
          <t>Modelo A · Cor: `bright white` · Formato: 4:5</t>
        </is>
      </c>
      <c r="E16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bright white,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Tight detail crop from the lips down to the chest. His right hand reaches across and pinches the hem of the left sleeve, a silver signet ring with a black stone and a second silver ring on the fingers, tattooed forearm in the lower right. On the white fabric the tiny piqué pores read as a delicate gray dot grid. Macro-level sharpness. CRITICAL: absolutely no text, no letters, no logos, no labels, no brand tags visible, no watermark, no graphic overlays, no icons. Plain garment exactly as described, correct anatomy, five fingers per hand.</t>
        </is>
      </c>
      <c r="F161" s="11" t="inlineStr">
        <is>
          <t>A gerar</t>
        </is>
      </c>
    </row>
    <row r="162" ht="300" customHeight="1">
      <c r="A162" s="10" t="inlineStr">
        <is>
          <t>P22</t>
        </is>
      </c>
      <c r="B162" s="10" t="inlineStr">
        <is>
          <t>F6 — Frontal mãos juntas (verde)</t>
        </is>
      </c>
      <c r="C162" s="10" t="inlineStr">
        <is>
          <t>Origem: foto #6 da galeria (verde sage, frontal, mãos juntas na cintura) — cor original 'muted sage green'</t>
        </is>
      </c>
      <c r="D162" s="10" t="inlineStr">
        <is>
          <t>Modelo A · Cor: `muted sage green` · Formato: 4:5</t>
        </is>
      </c>
      <c r="E16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muted sage green,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Frontal view, looking straight into the camera. Both hands meet in front of the lower waist, the right hand holding the fingers of the left, silver rings and black bracelets visible. Framing from the head to upper thigh. CRITICAL: absolutely no text, no letters, no logos, no labels, no brand tags visible, no watermark, no graphic overlays, no icons. Plain garment exactly as described, correct anatomy, five fingers per hand.</t>
        </is>
      </c>
      <c r="F162" s="11" t="inlineStr">
        <is>
          <t>A gerar</t>
        </is>
      </c>
    </row>
    <row r="163" ht="300" customHeight="1">
      <c r="A163" s="10" t="inlineStr">
        <is>
          <t>P22</t>
        </is>
      </c>
      <c r="B163" s="10" t="inlineStr">
        <is>
          <t>F7 — Detalhe gola e manga (verde)</t>
        </is>
      </c>
      <c r="C163" s="10" t="inlineStr">
        <is>
          <t>Origem: foto #7 da galeria (verde, recorte dos lábios ao peito)</t>
        </is>
      </c>
      <c r="D163" s="10" t="inlineStr">
        <is>
          <t>Modelo A · Cor: `muted sage green` · Formato: 4:5</t>
        </is>
      </c>
      <c r="E16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muted sage green,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Tight detail crop from the lips and beard down to the chest, collar band at the top, shoulder and sleeve with turned hem on the right, tattooed arm below. Macro-level sharpness on the fine piqué grid, slightly two-tone on the sage color. CRITICAL: absolutely no text, no letters, no logos, no labels, no brand tags visible, no watermark, no graphic overlays, no icons. Plain garment exactly as described, correct anatomy, five fingers per hand.</t>
        </is>
      </c>
      <c r="F163" s="11" t="inlineStr">
        <is>
          <t>A gerar</t>
        </is>
      </c>
    </row>
    <row r="164" ht="300" customHeight="1">
      <c r="A164" s="10" t="inlineStr">
        <is>
          <t>P22</t>
        </is>
      </c>
      <c r="B164" s="10" t="inlineStr">
        <is>
          <t>F8 — Mão no pescoço (verde)</t>
        </is>
      </c>
      <c r="C164" s="10" t="inlineStr">
        <is>
          <t>Origem: foto #8 da galeria (verde, mão direita erguida tocando o pescoço, cotovelo para fora)</t>
        </is>
      </c>
      <c r="D164" s="10" t="inlineStr">
        <is>
          <t>Modelo A · Cor: `muted sage green` · Formato: 4:5</t>
        </is>
      </c>
      <c r="E16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muted sage green,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Frontal view, looking into the camera with the chin slightly raised. His right arm is raised with the elbow out to the side and the fingertips touching the side of his neck under the jaw, showing the tattooed forearm; the left arm hangs relaxed with black bracelets. Framing from the head to upper thigh. CRITICAL: absolutely no text, no letters, no logos, no labels, no brand tags visible, no watermark, no graphic overlays, no icons. Plain garment exactly as described, correct anatomy, five fingers per hand.</t>
        </is>
      </c>
      <c r="F164" s="11" t="inlineStr">
        <is>
          <t>A gerar</t>
        </is>
      </c>
    </row>
    <row r="165" ht="300" customHeight="1">
      <c r="A165" s="10" t="inlineStr">
        <is>
          <t>P22</t>
        </is>
      </c>
      <c r="B165" s="10" t="inlineStr">
        <is>
          <t>F9 — Macro da textura</t>
        </is>
      </c>
      <c r="C165" s="10" t="inlineStr">
        <is>
          <t>Origem: derivado dos detalhes #2, #5 e #7 — close só do tecido</t>
        </is>
      </c>
      <c r="D165" s="10" t="inlineStr">
        <is>
          <t>Modelo A · Cor: `vivid medium cornflower blue` · Formato: 4:5</t>
        </is>
      </c>
      <c r="E16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regular fit t-shirt in 240gsm piqué knit (51% polyester / 49% cotton), vivid medium cornflower blue, the whole surface covered in a fine, uniform micro-mesh of tiny raised diamond-shaped cells about 1 mm across in a regular grid, exactly like a classic polo-shirt piqué, with tiny recessed pores between the cells, fully matte with a dry, crisp hand, set-in shoulders, short sleeves ending mid-bicep with a turned double-stitched hem, medium-width smooth clean crew-neck band (no ribbing) with a visible single topstitch line, straight double-stitched hem at the hip, fully opaque, tucked out, paired with light-wash blue jeans with ripped distressing. Fabric and construction: medium-weight 240gsm piqué with a firm, slightly springy structure — the polyester-rich blend keeps the body smooth and wrinkle-resistant; it falls straight and clean from the shoulders without clinging and shows almost no creases. The micro-diamond grid gives the surface a fine, even pebble texture that under soft light reads as a subtle honeycomb grain across the chest; on white the tiny pores show as a delicate pale-gray dot pattern, on colors as a slightly two-tone, heathered depth. Matte, dry-looking surface, no sheen. Smooth collar band with topstitch; reinforced shoulder-to-shoulder seam; chain-stitch seams; turned double-stitched hems at sleeves and bottom. Movement: crisp and resilient — folds are few, soft and rounded, and the fabric springs back after being pinched, the texture staying fully defined inside the folds. Fit on the model (size M on a 1.84 m, 84 kg man): body length 72 cm ending at the hip, chest width 54 cm giving 2–4 cm of relaxed ease, shoulder width 46 cm with the shoulder seam sitting exactly on the shoulder point, sleeve length 18 cm ending mid-bicep. Little stretch: crisp, clean regular silhouette. Extreme macro close-up so tight that only the fabric of the chest panel is visible, filling the whole frame, no face, no hands. Soft raking light from the upper left reveals a regular grid of tiny raised diamond cells about 1 mm across with small recessed pores between them, like polo-shirt piqué. Matte, dry surface. Tack-sharp edge to edge. CRITICAL: absolutely no text, no letters, no logos, no labels, no brand tags visible, no watermark, no graphic overlays, no icons. Plain garment exactly as described, correct anatomy, five fingers per hand.</t>
        </is>
      </c>
      <c r="F165" s="11" t="inlineStr">
        <is>
          <t>A gerar</t>
        </is>
      </c>
    </row>
    <row r="166" ht="300" customHeight="1">
      <c r="A166" s="10" t="inlineStr">
        <is>
          <t>P23</t>
        </is>
      </c>
      <c r="B166" s="10" t="inlineStr">
        <is>
          <t>F1 — Frontal com colar</t>
        </is>
      </c>
      <c r="C166" s="10" t="inlineStr">
        <is>
          <t>Origem: foto #1 da galeria (preto, frontal, corrente prata, mão esquerda no bolso)</t>
        </is>
      </c>
      <c r="D166" s="10" t="inlineStr">
        <is>
          <t>Modelo A · Cor: `black` · Formato: 4:5</t>
        </is>
      </c>
      <c r="E16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Frontal view, standing straight, looking straight into the camera with a calm serious expression. A thin silver chain with two small plain pendants rests on the chest. His right arm hangs relaxed with a silver ring on the fingers; his left hand rests with the fingertips slipped into the front jeans pocket, a dark beaded bracelet on the left wrist. Framing from the head to mid-thigh. CRITICAL: absolutely no text, no letters, no logos, no labels, no brand tags visible, no watermark, no graphic overlays, no icons. Plain garment exactly as described, correct anatomy, five fingers per hand.</t>
        </is>
      </c>
      <c r="F166" s="11" t="inlineStr">
        <is>
          <t>A gerar</t>
        </is>
      </c>
    </row>
    <row r="167" ht="300" customHeight="1">
      <c r="A167" s="10" t="inlineStr">
        <is>
          <t>P23</t>
        </is>
      </c>
      <c r="B167" s="10" t="inlineStr">
        <is>
          <t>F2 — Olhar baixo, leve 3/4</t>
        </is>
      </c>
      <c r="C167" s="10" t="inlineStr">
        <is>
          <t>Origem: foto #2 (preto, cabeça baixa olhando para o ombro)</t>
        </is>
      </c>
      <c r="D167" s="10" t="inlineStr">
        <is>
          <t>Modelo A · Cor: `black` · Formato: 4:5</t>
        </is>
      </c>
      <c r="E16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Body turned slightly to the camera's left, head tilted down with the gaze lowered toward his right shoulder, not at the camera. Right arm relaxed at the side; left hand fingertips in the front jeans pocket, bracelet on the left wrist. Framing from the head to mid-thigh. CRITICAL: absolutely no text, no letters, no logos, no labels, no brand tags visible, no watermark, no graphic overlays, no icons. Plain garment exactly as described, correct anatomy, five fingers per hand.</t>
        </is>
      </c>
      <c r="F167" s="11" t="inlineStr">
        <is>
          <t>A gerar</t>
        </is>
      </c>
    </row>
    <row r="168" ht="300" customHeight="1">
      <c r="A168" s="10" t="inlineStr">
        <is>
          <t>P23</t>
        </is>
      </c>
      <c r="B168" s="10" t="inlineStr">
        <is>
          <t>F3 — Detalhe gola e cava</t>
        </is>
      </c>
      <c r="C168" s="10" t="inlineStr">
        <is>
          <t>Origem: foto #3 (preto, recorte do nariz ao peito)</t>
        </is>
      </c>
      <c r="D168" s="10" t="inlineStr">
        <is>
          <t>Modelo A · Cor: `black` · Formato: 4:5</t>
        </is>
      </c>
      <c r="E16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Tight detail crop from the nose and beard down to mid-chest, slightly off-center to the camera's right: the rib-bound high crew neck, the narrow rib binding of his left armhole and the fine vertical ribs across the chest; his tattooed left shoulder and upper arm fill the right edge of the frame. Macro-level sharpness on the rib texture. CRITICAL: absolutely no text, no letters, no logos, no labels, no brand tags visible, no watermark, no graphic overlays, no icons. Plain garment exactly as described, correct anatomy, five fingers per hand.</t>
        </is>
      </c>
      <c r="F168" s="11" t="inlineStr">
        <is>
          <t>A gerar</t>
        </is>
      </c>
    </row>
    <row r="169" ht="300" customHeight="1">
      <c r="A169" s="10" t="inlineStr">
        <is>
          <t>P23</t>
        </is>
      </c>
      <c r="B169" s="10" t="inlineStr">
        <is>
          <t>F4 — Olhar para o lado</t>
        </is>
      </c>
      <c r="C169" s="10" t="inlineStr">
        <is>
          <t>Origem: foto #4 (vermelho, rosto virado, mão no bolso)</t>
        </is>
      </c>
      <c r="D169" s="10" t="inlineStr">
        <is>
          <t>Modelo A · Cor: `black` · Formato: 4:5</t>
        </is>
      </c>
      <c r="E16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Near-frontal stance with the torso square to the camera, head turned to his right (camera left) with a calm gaze off-camera. Right hand relaxed at his side; left hand with fingertips hooked into the front jeans pocket, bracelet on the left wrist. Framing from the head to mid-thigh. CRITICAL: absolutely no text, no letters, no logos, no labels, no brand tags visible, no watermark, no graphic overlays, no icons. Plain garment exactly as described, correct anatomy, five fingers per hand.</t>
        </is>
      </c>
      <c r="F169" s="11" t="inlineStr">
        <is>
          <t>A gerar</t>
        </is>
      </c>
    </row>
    <row r="170" ht="300" customHeight="1">
      <c r="A170" s="10" t="inlineStr">
        <is>
          <t>P23</t>
        </is>
      </c>
      <c r="B170" s="10" t="inlineStr">
        <is>
          <t>F5 — Frontal, polegares nos bolsos</t>
        </is>
      </c>
      <c r="C170" s="10" t="inlineStr">
        <is>
          <t>Origem: foto #5 (vermelho, frontal, olhar na câmera)</t>
        </is>
      </c>
      <c r="D170" s="10" t="inlineStr">
        <is>
          <t>Modelo A · Cor: `black` · Formato: 4:5</t>
        </is>
      </c>
      <c r="E17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Frontal view, looking into the camera, both hands with thumbs and fingertips tucked into the front jeans pockets, elbows slightly out so the full tattooed arms are visible, silver rings on the fingers. Framing from the head to mid-thigh. CRITICAL: absolutely no text, no letters, no logos, no labels, no brand tags visible, no watermark, no graphic overlays, no icons. Plain garment exactly as described, correct anatomy, five fingers per hand.</t>
        </is>
      </c>
      <c r="F170" s="11" t="inlineStr">
        <is>
          <t>A gerar</t>
        </is>
      </c>
    </row>
    <row r="171" ht="300" customHeight="1">
      <c r="A171" s="10" t="inlineStr">
        <is>
          <t>P23</t>
        </is>
      </c>
      <c r="B171" s="10" t="inlineStr">
        <is>
          <t>F6 — Frontal simétrico</t>
        </is>
      </c>
      <c r="C171" s="10" t="inlineStr">
        <is>
          <t>Origem: foto #6 (branco, frontal, mãos nos bolsos)</t>
        </is>
      </c>
      <c r="D171" s="10" t="inlineStr">
        <is>
          <t>Modelo A · Cor: `black` · Formato: 4:5</t>
        </is>
      </c>
      <c r="E17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Frontal, symmetrical stance, direct gaze into the camera, chin level. Both hands tucked into the front jeans pockets up to the knuckles, bracelet on the left wrist. Framing from the head to mid-thigh. CRITICAL: absolutely no text, no letters, no logos, no labels, no brand tags visible, no watermark, no graphic overlays, no icons. Plain garment exactly as described, correct anatomy, five fingers per hand.</t>
        </is>
      </c>
      <c r="F171" s="11" t="inlineStr">
        <is>
          <t>A gerar</t>
        </is>
      </c>
    </row>
    <row r="172" ht="300" customHeight="1">
      <c r="A172" s="10" t="inlineStr">
        <is>
          <t>P23</t>
        </is>
      </c>
      <c r="B172" s="10" t="inlineStr">
        <is>
          <t>F7 — 3/4 segurando a barra</t>
        </is>
      </c>
      <c r="C172" s="10" t="inlineStr">
        <is>
          <t>Origem: foto #7 (branco, 3/4, cabeça inclinada, mãos na barra)</t>
        </is>
      </c>
      <c r="D172" s="10" t="inlineStr">
        <is>
          <t>Modelo A · Cor: `black` · Formato: 4:5</t>
        </is>
      </c>
      <c r="E17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Three-quarter view, body turned to the camera's left, head tilted slightly, looking into the camera. Both hands hold the hem near the hips and tug it gently down so the rib stretches smooth over the chest; bracelet on the left wrist. Framing from the head to upper thigh. CRITICAL: absolutely no text, no letters, no logos, no labels, no brand tags visible, no watermark, no graphic overlays, no icons. Plain garment exactly as described, correct anatomy, five fingers per hand.</t>
        </is>
      </c>
      <c r="F172" s="11" t="inlineStr">
        <is>
          <t>A gerar</t>
        </is>
      </c>
    </row>
    <row r="173" ht="300" customHeight="1">
      <c r="A173" s="10" t="inlineStr">
        <is>
          <t>P23</t>
        </is>
      </c>
      <c r="B173" s="10" t="inlineStr">
        <is>
          <t>F8 — Detalhe gola e ombro (centralizado)</t>
        </is>
      </c>
      <c r="C173" s="10" t="inlineStr">
        <is>
          <t>Origem: foto #8 (branco, recorte dos lábios ao peito)</t>
        </is>
      </c>
      <c r="D173" s="10" t="inlineStr">
        <is>
          <t>Modelo A · Cor: `black` · Formato: 4:5</t>
        </is>
      </c>
      <c r="E17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Tight detail crop from the lips and beard down to the chest, collar centered-left: the rib binding of the crew neck, the left armhole binding, and the tattooed left shoulder at the right edge. Macro sharpness on the rib texture and the binding stitch. CRITICAL: absolutely no text, no letters, no logos, no labels, no brand tags visible, no watermark, no graphic overlays, no icons. Plain garment exactly as described, correct anatomy, five fingers per hand.</t>
        </is>
      </c>
      <c r="F173" s="11" t="inlineStr">
        <is>
          <t>A gerar</t>
        </is>
      </c>
    </row>
    <row r="174" ht="300" customHeight="1">
      <c r="A174" s="10" t="inlineStr">
        <is>
          <t>P23</t>
        </is>
      </c>
      <c r="B174" s="10" t="inlineStr">
        <is>
          <t>F9 — 3/4 olhar baixo lateral</t>
        </is>
      </c>
      <c r="C174" s="10" t="inlineStr">
        <is>
          <t>Origem: foto #9 (azul, rosto para a direita da câmera)</t>
        </is>
      </c>
      <c r="D174" s="10" t="inlineStr">
        <is>
          <t>Modelo A · Cor: `black` · Formato: 4:5</t>
        </is>
      </c>
      <c r="E17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Slight three-quarter view to the camera's right, head turned to his left (camera right) with the gaze down and off-camera. Right arm relaxed; left thumb hooked in the front jeans pocket, bracelet on the left wrist. Framing from the head to mid-thigh. CRITICAL: absolutely no text, no letters, no logos, no labels, no brand tags visible, no watermark, no graphic overlays, no icons. Plain garment exactly as described, correct anatomy, five fingers per hand.</t>
        </is>
      </c>
      <c r="F174" s="11" t="inlineStr">
        <is>
          <t>A gerar</t>
        </is>
      </c>
    </row>
    <row r="175" ht="300" customHeight="1">
      <c r="A175" s="10" t="inlineStr">
        <is>
          <t>P23</t>
        </is>
      </c>
      <c r="B175" s="10" t="inlineStr">
        <is>
          <t>F10 — Puxando a barra</t>
        </is>
      </c>
      <c r="C175" s="10" t="inlineStr">
        <is>
          <t>Origem: foto #10 (azul, mãos puxando a barra)</t>
        </is>
      </c>
      <c r="D175" s="10" t="inlineStr">
        <is>
          <t>Modelo A · Cor: `black` · Formato: 4:5</t>
        </is>
      </c>
      <c r="E17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Three-quarter view to the camera's right, head tilted down with the gaze lowered. Both hands grip the hem at the front sides and pull it gently down, stretching the ribs smooth across the chest to show the elasticity. Framing from the head to upper thigh. CRITICAL: absolutely no text, no letters, no logos, no labels, no brand tags visible, no watermark, no graphic overlays, no icons. Plain garment exactly as described, correct anatomy, five fingers per hand.</t>
        </is>
      </c>
      <c r="F175" s="11" t="inlineStr">
        <is>
          <t>A gerar</t>
        </is>
      </c>
    </row>
    <row r="176" ht="300" customHeight="1">
      <c r="A176" s="10" t="inlineStr">
        <is>
          <t>P23</t>
        </is>
      </c>
      <c r="B176" s="10" t="inlineStr">
        <is>
          <t>F11 — Frontal olhando para fora</t>
        </is>
      </c>
      <c r="C176" s="10" t="inlineStr">
        <is>
          <t>Origem: foto #11 (marinho, corpo de frente, rosto virado)</t>
        </is>
      </c>
      <c r="D176" s="10" t="inlineStr">
        <is>
          <t>Modelo A · Cor: `black` · Formato: 4:5</t>
        </is>
      </c>
      <c r="E17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Near-frontal body, head turned to his right (camera left), looking off-camera. Right arm relaxed with a silver ring; left hand with the thumb hooked in the front jeans pocket, bracelet on the wrist. Framing from the head to mid-thigh. CRITICAL: absolutely no text, no letters, no logos, no labels, no brand tags visible, no watermark, no graphic overlays, no icons. Plain garment exactly as described, correct anatomy, five fingers per hand.</t>
        </is>
      </c>
      <c r="F176" s="11" t="inlineStr">
        <is>
          <t>A gerar</t>
        </is>
      </c>
    </row>
    <row r="177" ht="300" customHeight="1">
      <c r="A177" s="10" t="inlineStr">
        <is>
          <t>P23</t>
        </is>
      </c>
      <c r="B177" s="10" t="inlineStr">
        <is>
          <t>F12 — Detalhe com corrente</t>
        </is>
      </c>
      <c r="C177" s="10" t="inlineStr">
        <is>
          <t>Origem: foto #12 (marinho, recorte dos lábios ao peito)</t>
        </is>
      </c>
      <c r="D177" s="10" t="inlineStr">
        <is>
          <t>Modelo A · Cor: `black` · Formato: 4:5</t>
        </is>
      </c>
      <c r="E17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American-style men's tank top in 100% cotton 2x1 rib knit, black, fine tight vertical ribs across the whole garment, high crew neck finished with a narrow rib binding, clean rib-bound armholes cut moderately, shoulder straps about 6–7 cm wide, straight clean hem at the hip; his tattooed arms and shoulders are fully visible, tucked out, paired with light-blue faded slim jeans with small rips at the thighs. Fabric and construction: medium-weight 100% cotton 2x1 rib knit (no elastane) with fine vertical ribs clearly visible, dense and opaque, fully matte with no sheen. The mechanical stretch of the rib makes the tank hug the chest, lats and waist: the ribs open slightly where the chest is widest and close again toward the waist. High crew neckline and armholes finished with the same narrow self-fabric rib binding (about 1.5 cm), clean edges, bartacks at stress points; straight clean hem. Movement: elastic and body-following — when an arm moves or a hand pulls the hem, the ribs stretch and fan out, then spring back without bagging; almost no folds, only a few soft horizontal ripples at the lower waist. Fit on the model (size M on a 1.84 m, 84 kg man): slim American-style fit — body length 70 cm ending at the hip bone, just covering the jeans waistband; chest width 48 cm flat (about 96 cm around), stretched over the chest so the rib hugs the torso with no ease; armhole depth 23 cm, ending a few centimetres below the armpit and showing only a sliver of the side chest. Tight detail crop from the lips down to mid-chest, off-center to the camera's right: rib-bound crew neck, a thin silver chain on the neck, the left armhole binding and the tattooed shoulder. Macro-level sharpness on the rib texture. CRITICAL: absolutely no text, no letters, no logos, no labels, no brand tags visible, no watermark, no graphic overlays, no icons. Plain garment exactly as described, correct anatomy, five fingers per hand.</t>
        </is>
      </c>
      <c r="F177" s="11" t="inlineStr">
        <is>
          <t>A gerar</t>
        </is>
      </c>
    </row>
    <row r="178" ht="300" customHeight="1">
      <c r="A178" s="10" t="inlineStr">
        <is>
          <t>P24</t>
        </is>
      </c>
      <c r="B178" s="10" t="inlineStr">
        <is>
          <t>F1 — 3/4 olhar para fora</t>
        </is>
      </c>
      <c r="C178" s="10" t="inlineStr">
        <is>
          <t>Origem: foto #1 (azul, corpo levemente 3/4, rosto virado)</t>
        </is>
      </c>
      <c r="D178" s="10" t="inlineStr">
        <is>
          <t>Modelo A · Cor: `stone-washed faded cobalt blue` · Formato: 4:5</t>
        </is>
      </c>
      <c r="E17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Slight three-quarter view with the body angled to the camera's right, head turned to his right (camera left) gazing off-camera. Right arm relaxed with a silver ring; left hand fingertips in the front jeans pocket, dark bracelet on the left wrist. Framing from the head to mid-thigh. CRITICAL: absolutely no text, no letters, no logos, no labels, no brand tags visible, no watermark, no graphic overlays, no icons. Plain garment exactly as described, correct anatomy, five fingers per hand.</t>
        </is>
      </c>
      <c r="F178" s="11" t="inlineStr">
        <is>
          <t>A gerar</t>
        </is>
      </c>
    </row>
    <row r="179" ht="300" customHeight="1">
      <c r="A179" s="10" t="inlineStr">
        <is>
          <t>P24</t>
        </is>
      </c>
      <c r="B179" s="10" t="inlineStr">
        <is>
          <t>F2 — Detalhe gola lavada</t>
        </is>
      </c>
      <c r="C179" s="10" t="inlineStr">
        <is>
          <t>Origem: foto #2 (azul, recorte dos lábios ao peito)</t>
        </is>
      </c>
      <c r="D179" s="10" t="inlineStr">
        <is>
          <t>Modelo A · Cor: `stone-washed faded cobalt blue` · Formato: 4:5</t>
        </is>
      </c>
      <c r="E17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Tight detail crop from the lips and beard down to mid-chest, off-center to the camera's right: the stone-washed neck binding with its lighter frosted edge, the armhole binding and the faded rib texture with lighter streaks; the tattooed left shoulder fills the right edge. Macro-level sharpness on the washed rib. CRITICAL: absolutely no text, no letters, no logos, no labels, no brand tags visible, no watermark, no graphic overlays, no icons. Plain garment exactly as described, correct anatomy, five fingers per hand.</t>
        </is>
      </c>
      <c r="F179" s="11" t="inlineStr">
        <is>
          <t>A gerar</t>
        </is>
      </c>
    </row>
    <row r="180" ht="300" customHeight="1">
      <c r="A180" s="10" t="inlineStr">
        <is>
          <t>P24</t>
        </is>
      </c>
      <c r="B180" s="10" t="inlineStr">
        <is>
          <t>F3 — Frontal, cabeça inclinada</t>
        </is>
      </c>
      <c r="C180" s="10" t="inlineStr">
        <is>
          <t>Origem: foto #3 (cinza, frontal, olhar na câmera)</t>
        </is>
      </c>
      <c r="D180" s="10" t="inlineStr">
        <is>
          <t>Modelo A · Cor: `stone-washed faded cobalt blue` · Formato: 4:5</t>
        </is>
      </c>
      <c r="E18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Near-frontal stance, looking into the camera with a slight head tilt. Right arm relaxed with a ring; left hand fingertips in the front jeans pocket, bracelet on the wrist. Framing from the head to mid-thigh. CRITICAL: absolutely no text, no letters, no logos, no labels, no brand tags visible, no watermark, no graphic overlays, no icons. Plain garment exactly as described, correct anatomy, five fingers per hand.</t>
        </is>
      </c>
      <c r="F180" s="11" t="inlineStr">
        <is>
          <t>A gerar</t>
        </is>
      </c>
    </row>
    <row r="181" ht="300" customHeight="1">
      <c r="A181" s="10" t="inlineStr">
        <is>
          <t>P24</t>
        </is>
      </c>
      <c r="B181" s="10" t="inlineStr">
        <is>
          <t>F4 — Frontal olhar lateral</t>
        </is>
      </c>
      <c r="C181" s="10" t="inlineStr">
        <is>
          <t>Origem: foto #4 (cinza, rosto para a direita da câmera)</t>
        </is>
      </c>
      <c r="D181" s="10" t="inlineStr">
        <is>
          <t>Modelo A · Cor: `stone-washed faded cobalt blue` · Formato: 4:5</t>
        </is>
      </c>
      <c r="E18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Frontal body, head turned to his left (camera right) with the gaze off-camera and slightly down. Right arm relaxed; left hand fingertips in the front pocket, bracelet on the left wrist. Framing from the head to mid-thigh. CRITICAL: absolutely no text, no letters, no logos, no labels, no brand tags visible, no watermark, no graphic overlays, no icons. Plain garment exactly as described, correct anatomy, five fingers per hand.</t>
        </is>
      </c>
      <c r="F181" s="11" t="inlineStr">
        <is>
          <t>A gerar</t>
        </is>
      </c>
    </row>
    <row r="182" ht="300" customHeight="1">
      <c r="A182" s="10" t="inlineStr">
        <is>
          <t>P24</t>
        </is>
      </c>
      <c r="B182" s="10" t="inlineStr">
        <is>
          <t>F5 — Detalhe cava e ombro</t>
        </is>
      </c>
      <c r="C182" s="10" t="inlineStr">
        <is>
          <t>Origem: foto #5 (cinza, recorte do nariz ao peito)</t>
        </is>
      </c>
      <c r="D182" s="10" t="inlineStr">
        <is>
          <t>Modelo A · Cor: `stone-washed faded cobalt blue` · Formato: 4:5</t>
        </is>
      </c>
      <c r="E18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Tight detail crop from the nose down to mid-chest, off-center to the camera's right, focusing on the washed armhole binding curving under the tattooed left shoulder and the faded rib across the chest. Macro sharpness on the abraded binding edge. CRITICAL: absolutely no text, no letters, no logos, no labels, no brand tags visible, no watermark, no graphic overlays, no icons. Plain garment exactly as described, correct anatomy, five fingers per hand.</t>
        </is>
      </c>
      <c r="F182" s="11" t="inlineStr">
        <is>
          <t>A gerar</t>
        </is>
      </c>
    </row>
    <row r="183" ht="300" customHeight="1">
      <c r="A183" s="10" t="inlineStr">
        <is>
          <t>P24</t>
        </is>
      </c>
      <c r="B183" s="10" t="inlineStr">
        <is>
          <t>F6 — Frontal mãos nos bolsos</t>
        </is>
      </c>
      <c r="C183" s="10" t="inlineStr">
        <is>
          <t>Origem: foto #6 (bordô/malva, frontal)</t>
        </is>
      </c>
      <c r="D183" s="10" t="inlineStr">
        <is>
          <t>Modelo A · Cor: `stone-washed faded cobalt blue` · Formato: 4:5</t>
        </is>
      </c>
      <c r="E18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Frontal, symmetrical stance, direct gaze into the camera. Both hands tucked into the front jeans pockets, bracelet on the left wrist. Framing from the head to mid-thigh. CRITICAL: absolutely no text, no letters, no logos, no labels, no brand tags visible, no watermark, no graphic overlays, no icons. Plain garment exactly as described, correct anatomy, five fingers per hand.</t>
        </is>
      </c>
      <c r="F183" s="11" t="inlineStr">
        <is>
          <t>A gerar</t>
        </is>
      </c>
    </row>
    <row r="184" ht="300" customHeight="1">
      <c r="A184" s="10" t="inlineStr">
        <is>
          <t>P24</t>
        </is>
      </c>
      <c r="B184" s="10" t="inlineStr">
        <is>
          <t>F7 — Detalhe gola (malva)</t>
        </is>
      </c>
      <c r="C184" s="10" t="inlineStr">
        <is>
          <t>Origem: foto #7 (bordô/malva, recorte dos lábios ao peito)</t>
        </is>
      </c>
      <c r="D184" s="10" t="inlineStr">
        <is>
          <t>Modelo A · Cor: `stone-washed faded cobalt blue` · Formato: 4:5</t>
        </is>
      </c>
      <c r="E18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Tight detail crop from the lips down to the chest, collar on the left third of the frame: the washed rib neck binding, the armhole binding and the mottled faded rib body; tattooed left shoulder at the right edge. Macro-level texture. CRITICAL: absolutely no text, no letters, no logos, no labels, no brand tags visible, no watermark, no graphic overlays, no icons. Plain garment exactly as described, correct anatomy, five fingers per hand.</t>
        </is>
      </c>
      <c r="F184" s="11" t="inlineStr">
        <is>
          <t>A gerar</t>
        </is>
      </c>
    </row>
    <row r="185" ht="300" customHeight="1">
      <c r="A185" s="10" t="inlineStr">
        <is>
          <t>P24</t>
        </is>
      </c>
      <c r="B185" s="10" t="inlineStr">
        <is>
          <t>F8 — Frontal segurando a barra</t>
        </is>
      </c>
      <c r="C185" s="10" t="inlineStr">
        <is>
          <t>Origem: foto #8 (verde, frontal, mão na barra)</t>
        </is>
      </c>
      <c r="D185" s="10" t="inlineStr">
        <is>
          <t>Modelo A · Cor: `stone-washed faded cobalt blue` · Formato: 4:5</t>
        </is>
      </c>
      <c r="E18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Frontal view, direct gaze into the camera. His right hand pinches the hem at the front side and pulls it slightly, the left arm relaxed with a bracelet. Framing from the head to upper thigh. CRITICAL: absolutely no text, no letters, no logos, no labels, no brand tags visible, no watermark, no graphic overlays, no icons. Plain garment exactly as described, correct anatomy, five fingers per hand.</t>
        </is>
      </c>
      <c r="F185" s="11" t="inlineStr">
        <is>
          <t>A gerar</t>
        </is>
      </c>
    </row>
    <row r="186" ht="300" customHeight="1">
      <c r="A186" s="10" t="inlineStr">
        <is>
          <t>P24</t>
        </is>
      </c>
      <c r="B186" s="10" t="inlineStr">
        <is>
          <t>F9 — Detalhe gola (verde)</t>
        </is>
      </c>
      <c r="C186" s="10" t="inlineStr">
        <is>
          <t>Origem: foto #9 (verde, recorte do nariz ao peito)</t>
        </is>
      </c>
      <c r="D186" s="10" t="inlineStr">
        <is>
          <t>Modelo A · Cor: `stone-washed faded cobalt blue` · Formato: 4:5</t>
        </is>
      </c>
      <c r="E18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wavy hair swept back with volume, short groomed beard with moustache, defined eyebrows, serious calm expression, both forearms covered with dense full-sleeve tattoos (generic ornamental and figurative designs, no readable lettering). He wears a slim-fit men's tank top in 100% cotton 2x1 rib knit, garment-dyed and stone-washed, stone-washed faded cobalt blue with an uneven vintage fade, fine vertical ribs, high crew neck with a narrow rib binding showing a lighter frosted worn edge, clean rib-bound armholes cut moderately with the same frosted edge, shoulder straps about 6–7 cm wide, straight hem at the hip; his tattooed arms and shoulders are fully visible, tucked out, paired with light-blue faded slim jeans with small rips at the thighs. Fabric and construction: 100% cotton 2x1 rib knit that has been stone-washed after dyeing — the color is faded and slightly mottled, lighter along the raised rib ridges and darker in the grooves, with subtle streaks and a dusty chalky matte surface, zero sheen. The neck and armhole rib bindings and the seams are visibly lighter and softly abraded from the wash, like a well-worn vintage piece; soft, relaxed hand. The rib's mechanical stretch makes the tank hug the chest and waist without elastane. Bartacks at stress points; straight hem. Movement: elastic and body-following — the ribs open over the chest when he moves and spring back; only soft horizontal ripples at the lower waist. Fit on the model (size M on a 1.84 m, 84 kg man): slim athletic fit — body length 70 cm ending at the hip bone, just over the jeans waistband; chest width 48 cm flat (about 96 cm around), hugging the torso with no ease; armhole depth 23 cm, ending a few centimetres below the armpit. Tight detail crop from the nose and beard to mid-chest, off-center right: faded olive rib with lighter ridges, the frosted neck and armhole bindings, the tattooed left shoulder. Macro sharpness on the stone-wash texture. CRITICAL: absolutely no text, no letters, no logos, no labels, no brand tags visible, no watermark, no graphic overlays, no icons. Plain garment exactly as described, correct anatomy, five fingers per hand.</t>
        </is>
      </c>
      <c r="F186" s="11" t="inlineStr">
        <is>
          <t>A gerar</t>
        </is>
      </c>
    </row>
    <row r="187" ht="300" customHeight="1">
      <c r="A187" s="10" t="inlineStr">
        <is>
          <t>P25</t>
        </is>
      </c>
      <c r="B187" s="10" t="inlineStr">
        <is>
          <t>F1 — Frontal 3/4, mão no bolso</t>
        </is>
      </c>
      <c r="C187" s="10" t="inlineStr">
        <is>
          <t>Origem: foto #1 (preto, recorte do peito ao chão, camiseta cinza)</t>
        </is>
      </c>
      <c r="D187" s="10" t="inlineStr">
        <is>
          <t>Modelo próprio · Cor: `black` · Formato: 4:5</t>
        </is>
      </c>
      <c r="E18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Slight three-quarter front view, body angled to the camera's right, framing from the lower chest (only the hem of the grey t-shirt visible) down to the floor including the sneakers. His left hand is in the side pocket up to the knuckles; his right hand hangs loose with relaxed fingers beside the thigh. Feet slightly apart, weight on the back leg. CRITICAL: absolutely no text, no letters, no logos, no labels, no brand tags visible, no watermark, no graphic overlays, no icons. Plain garment exactly as described, correct anatomy, five fingers per hand.</t>
        </is>
      </c>
      <c r="F187" s="11" t="inlineStr">
        <is>
          <t>A gerar</t>
        </is>
      </c>
    </row>
    <row r="188" ht="300" customHeight="1">
      <c r="A188" s="10" t="inlineStr">
        <is>
          <t>P25</t>
        </is>
      </c>
      <c r="B188" s="10" t="inlineStr">
        <is>
          <t>F2 — Lateral em passo</t>
        </is>
      </c>
      <c r="C188" s="10" t="inlineStr">
        <is>
          <t>Origem: foto #2 (preto, 3/4 lateral, andando)</t>
        </is>
      </c>
      <c r="D188" s="10" t="inlineStr">
        <is>
          <t>Modelo próprio · Cor: `black` · Formato: 4:5</t>
        </is>
      </c>
      <c r="E18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Side three-quarter view, body turned to the camera's left, caught mid-stride with the back heel lifting off the floor; his right hand is in the side pocket stretching the pocket opening, showing the side of the hip, the knee panel seam and the leg tapering into the ribbed cuff. Framing from the waist to the floor. CRITICAL: absolutely no text, no letters, no logos, no labels, no brand tags visible, no watermark, no graphic overlays, no icons. Plain garment exactly as described, correct anatomy, five fingers per hand.</t>
        </is>
      </c>
      <c r="F188" s="11" t="inlineStr">
        <is>
          <t>A gerar</t>
        </is>
      </c>
    </row>
    <row r="189" ht="300" customHeight="1">
      <c r="A189" s="10" t="inlineStr">
        <is>
          <t>P25</t>
        </is>
      </c>
      <c r="B189" s="10" t="inlineStr">
        <is>
          <t>F3 — Frontal, peso em uma perna</t>
        </is>
      </c>
      <c r="C189" s="10" t="inlineStr">
        <is>
          <t>Origem: foto #3 (preto, frontal)</t>
        </is>
      </c>
      <c r="D189" s="10" t="inlineStr">
        <is>
          <t>Modelo próprio · Cor: `black` · Formato: 4:5</t>
        </is>
      </c>
      <c r="E18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Frontal view, feet hip-width apart with the weight on one leg; his left hand in the side pocket, the right hand relaxed at the thigh; the drawcord hangs straight down the front. Framing from the lower chest to the floor. CRITICAL: absolutely no text, no letters, no logos, no labels, no brand tags visible, no watermark, no graphic overlays, no icons. Plain garment exactly as described, correct anatomy, five fingers per hand.</t>
        </is>
      </c>
      <c r="F189" s="11" t="inlineStr">
        <is>
          <t>A gerar</t>
        </is>
      </c>
    </row>
    <row r="190" ht="300" customHeight="1">
      <c r="A190" s="10" t="inlineStr">
        <is>
          <t>P25</t>
        </is>
      </c>
      <c r="B190" s="10" t="inlineStr">
        <is>
          <t>F4 — 3/4 cruzando a perna</t>
        </is>
      </c>
      <c r="C190" s="10" t="inlineStr">
        <is>
          <t>Origem: foto #4 (preto, 3/4, perna dianteira dobrada)</t>
        </is>
      </c>
      <c r="D190" s="10" t="inlineStr">
        <is>
          <t>Modelo próprio · Cor: `black` · Formato: 4:5</t>
        </is>
      </c>
      <c r="E19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Three-quarter view to the camera's left in a relaxed walking pose, the front knee bent and slightly crossing, both hands in the side pockets; shows the knee articulation seam, the soft creases behind the knee and the tapered leg into the cuff. Framing from the lower chest to the floor. CRITICAL: absolutely no text, no letters, no logos, no labels, no brand tags visible, no watermark, no graphic overlays, no icons. Plain garment exactly as described, correct anatomy, five fingers per hand.</t>
        </is>
      </c>
      <c r="F190" s="11" t="inlineStr">
        <is>
          <t>A gerar</t>
        </is>
      </c>
    </row>
    <row r="191" ht="300" customHeight="1">
      <c r="A191" s="10" t="inlineStr">
        <is>
          <t>P25</t>
        </is>
      </c>
      <c r="B191" s="10" t="inlineStr">
        <is>
          <t>F5 — Frontal a partir do cós</t>
        </is>
      </c>
      <c r="C191" s="10" t="inlineStr">
        <is>
          <t>Origem: foto #5 (bege/caramelo, frontal, sem camiseta — recorte começa no cós)</t>
        </is>
      </c>
      <c r="D191" s="10" t="inlineStr">
        <is>
          <t>Modelo próprio · Cor: `black` · Formato: 4:5</t>
        </is>
      </c>
      <c r="E19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Frontal view, framing from just below the navel (waistband at the top of the frame, no top visible) down to the floor. His right hand in the side pocket, left hand relaxed with fingers slightly curled; feet slightly apart; the drawcord and faux-fly placket clearly visible. CRITICAL: absolutely no text, no letters, no logos, no labels, no brand tags visible, no watermark, no graphic overlays, no icons. Plain garment exactly as described, correct anatomy, five fingers per hand.</t>
        </is>
      </c>
      <c r="F191" s="11" t="inlineStr">
        <is>
          <t>A gerar</t>
        </is>
      </c>
    </row>
    <row r="192" ht="300" customHeight="1">
      <c r="A192" s="10" t="inlineStr">
        <is>
          <t>P25</t>
        </is>
      </c>
      <c r="B192" s="10" t="inlineStr">
        <is>
          <t>F6 — 3/4 a partir do cós</t>
        </is>
      </c>
      <c r="C192" s="10" t="inlineStr">
        <is>
          <t>Origem: foto #6 (bege/caramelo, 3/4)</t>
        </is>
      </c>
      <c r="D192" s="10" t="inlineStr">
        <is>
          <t>Modelo próprio · Cor: `black` · Formato: 4:5</t>
        </is>
      </c>
      <c r="E19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Three-quarter view to the camera's right, framing from just below the navel down to the floor, weight on the back leg and the front knee softly bent; right hand relaxed at the thigh, left hand hanging loose. Shows the front panel seam and the stacked folds above the ribbed cuffs. CRITICAL: absolutely no text, no letters, no logos, no labels, no brand tags visible, no watermark, no graphic overlays, no icons. Plain garment exactly as described, correct anatomy, five fingers per hand.</t>
        </is>
      </c>
      <c r="F192" s="11" t="inlineStr">
        <is>
          <t>A gerar</t>
        </is>
      </c>
    </row>
    <row r="193" ht="300" customHeight="1">
      <c r="A193" s="10" t="inlineStr">
        <is>
          <t>P25</t>
        </is>
      </c>
      <c r="B193" s="10" t="inlineStr">
        <is>
          <t>F7 — Frontal marinho</t>
        </is>
      </c>
      <c r="C193" s="10" t="inlineStr">
        <is>
          <t>Origem: foto #7 (marinho, frontal, sem camiseta)</t>
        </is>
      </c>
      <c r="D193" s="10" t="inlineStr">
        <is>
          <t>Modelo próprio · Cor: `black` · Formato: 4:5</t>
        </is>
      </c>
      <c r="E19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Frontal view from just below the navel to the floor, his left hand in the side pocket, right hand relaxed; feet slightly apart. Clean view of the waistband, drawcord, pockets and cuffs. CRITICAL: absolutely no text, no letters, no logos, no labels, no brand tags visible, no watermark, no graphic overlays, no icons. Plain garment exactly as described, correct anatomy, five fingers per hand.</t>
        </is>
      </c>
      <c r="F193" s="11" t="inlineStr">
        <is>
          <t>A gerar</t>
        </is>
      </c>
    </row>
    <row r="194" ht="300" customHeight="1">
      <c r="A194" s="10" t="inlineStr">
        <is>
          <t>P25</t>
        </is>
      </c>
      <c r="B194" s="10" t="inlineStr">
        <is>
          <t>F8 — 3/4 marinho em passo</t>
        </is>
      </c>
      <c r="C194" s="10" t="inlineStr">
        <is>
          <t>Origem: foto #8 (marinho, 3/4 com passo)</t>
        </is>
      </c>
      <c r="D194" s="10" t="inlineStr">
        <is>
          <t>Modelo próprio · Cor: `black` · Formato: 4:5</t>
        </is>
      </c>
      <c r="E19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Three-quarter view to the camera's left, mid-step with the front knee bent, left hand in the side pocket, right arm relaxed; framing from just below the navel to the floor, showing the knee seam and the taper into the cuff. CRITICAL: absolutely no text, no letters, no logos, no labels, no brand tags visible, no watermark, no graphic overlays, no icons. Plain garment exactly as described, correct anatomy, five fingers per hand.</t>
        </is>
      </c>
      <c r="F194" s="11" t="inlineStr">
        <is>
          <t>A gerar</t>
        </is>
      </c>
    </row>
    <row r="195" ht="300" customHeight="1">
      <c r="A195" s="10" t="inlineStr">
        <is>
          <t>P25</t>
        </is>
      </c>
      <c r="B195" s="10" t="inlineStr">
        <is>
          <t>F9 — Frontal, duas mãos nos bolsos</t>
        </is>
      </c>
      <c r="C195" s="10" t="inlineStr">
        <is>
          <t>Origem: foto #9 (marinho, frontal)</t>
        </is>
      </c>
      <c r="D195" s="10" t="inlineStr">
        <is>
          <t>Modelo próprio · Cor: `black` · Formato: 4:5</t>
        </is>
      </c>
      <c r="E19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an athletic Caucasian man photographed only from the lower chest (or waistband) down to the floor — the face and head are never in frame; muscular forearms and hands with natural skin, no tattoos, no jewelry. He wears comfort-fit tapered jogger sweatpants in heavyweight 320gsm three-thread fleece (50% cotton / 50% polyester), black, smooth matte outer face with a brushed fleece inside, a wide flat self-fabric waistband (about 5 cm) with covered elastic, an off-white flat cotton drawcord exiting through two small front eyelets and hanging to upper thigh, a stitched faux-fly placket, two side slash pockets with angled openings, a front panel seam running from each pocket down to the knee with a short articulation seam above the knee, legs tapering into 1x1 ribbed ankle cuffs about 7 cm tall, paired with a plain heather-grey crew-neck t-shirt (only its hem visible) and plain white leather low-top sneakers with no logos or stripes. Fabric and construction: heavyweight 320gsm three-thread fleece, thick, soft and fully opaque with a dense brushed fleece inside. The legs have real body: from the hip the fabric falls in a few soft, rounded vertical folds and gathers into gentle stacked folds just above the ribbed ankle cuffs; no clinging, fully matte, no sheen. The wide flat waistband lies smooth; the pocket openings lie flat along the angled seam; overlocked inner seams with reinforced tonal topstitching on the panel and knee seams. Movement: weighty and slow — in a stride the front of the thigh pulls smooth while broad soft creases form behind the knee; the cuffs keep the hem locked at the ankle. Fit on the model (size M on a 1.84 m, 84 kg man): relaxed comfort-fit jogger — waist 39 cm flat relaxed (about 78 cm around, stretching with the elastic and drawcord), hip width 53 cm flat (about 106 cm around) with easy room through the seat and thigh, outseam 103 cm reaching the ankle with a little stacking above the cuff, ankle cuff 17 cm flat. Roomy through the thigh, tapering below the knee. Frontal, symmetrical stance, both hands in the side pockets up to the knuckles, feet hip-width apart; framing from just below the navel to the floor. CRITICAL: absolutely no text, no letters, no logos, no labels, no brand tags visible, no watermark, no graphic overlays, no icons. Plain garment exactly as described, correct anatomy, five fingers per hand.</t>
        </is>
      </c>
      <c r="F195" s="11" t="inlineStr">
        <is>
          <t>A gerar</t>
        </is>
      </c>
    </row>
    <row r="196" ht="300" customHeight="1">
      <c r="A196" s="10" t="inlineStr">
        <is>
          <t>P26</t>
        </is>
      </c>
      <c r="B196" s="10" t="inlineStr">
        <is>
          <t>F1 — Frontal braços soltos</t>
        </is>
      </c>
      <c r="C196" s="10" t="inlineStr">
        <is>
          <t>Origem: foto #1 (preto, frontal, olhar na câmera)</t>
        </is>
      </c>
      <c r="D196" s="10" t="inlineStr">
        <is>
          <t>Modelo próprio · Cor: `black` · Formato: 4:5</t>
        </is>
      </c>
      <c r="E19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Frontal view, standing straight with arms relaxed at the sides and fingers slightly curled, looking straight into the camera. Framing from the head to upper thigh. CRITICAL: absolutely no text, no letters, no logos, no labels, no brand tags visible, no watermark, no graphic overlays, no icons. Plain garment exactly as described, correct anatomy, five fingers per hand.</t>
        </is>
      </c>
      <c r="F196" s="11" t="inlineStr">
        <is>
          <t>A gerar</t>
        </is>
      </c>
    </row>
    <row r="197" ht="300" customHeight="1">
      <c r="A197" s="10" t="inlineStr">
        <is>
          <t>P26</t>
        </is>
      </c>
      <c r="B197" s="10" t="inlineStr">
        <is>
          <t>F2 — Leve 3/4</t>
        </is>
      </c>
      <c r="C197" s="10" t="inlineStr">
        <is>
          <t>Origem: foto #2 (preto, corpo levemente virado)</t>
        </is>
      </c>
      <c r="D197" s="10" t="inlineStr">
        <is>
          <t>Modelo próprio · Cor: `black` · Formato: 4:5</t>
        </is>
      </c>
      <c r="E19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Slight three-quarter view, body turned a little to the camera's left, face toward the camera with a calm expression, arms relaxed at the sides. Framing from the head to upper thigh. CRITICAL: absolutely no text, no letters, no logos, no labels, no brand tags visible, no watermark, no graphic overlays, no icons. Plain garment exactly as described, correct anatomy, five fingers per hand.</t>
        </is>
      </c>
      <c r="F197" s="11" t="inlineStr">
        <is>
          <t>A gerar</t>
        </is>
      </c>
    </row>
    <row r="198" ht="300" customHeight="1">
      <c r="A198" s="10" t="inlineStr">
        <is>
          <t>P26</t>
        </is>
      </c>
      <c r="B198" s="10" t="inlineStr">
        <is>
          <t>F3 — Detalhe gola e ombro</t>
        </is>
      </c>
      <c r="C198" s="10" t="inlineStr">
        <is>
          <t>Origem: foto #3 (preto, recorte do bigode ao peito)</t>
        </is>
      </c>
      <c r="D198" s="10" t="inlineStr">
        <is>
          <t>Modelo próprio · Cor: `black` · Formato: 4:5</t>
        </is>
      </c>
      <c r="E19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Tight detail crop from the moustache and chin down to the chest, off-center: the thick 3 cm ribbed crew neck, the shoulder seam on his left shoulder and the smooth matte fleece face. Macro-level sharpness on the rib and fleece texture. CRITICAL: absolutely no text, no letters, no logos, no labels, no brand tags visible, no watermark, no graphic overlays, no icons. Plain garment exactly as described, correct anatomy, five fingers per hand.</t>
        </is>
      </c>
      <c r="F198" s="11" t="inlineStr">
        <is>
          <t>A gerar</t>
        </is>
      </c>
    </row>
    <row r="199" ht="300" customHeight="1">
      <c r="A199" s="10" t="inlineStr">
        <is>
          <t>P26</t>
        </is>
      </c>
      <c r="B199" s="10" t="inlineStr">
        <is>
          <t>F4 — 3/4 olhar para fora</t>
        </is>
      </c>
      <c r="C199" s="10" t="inlineStr">
        <is>
          <t>Origem: foto #4 (laranja/'terracota', 3/4)</t>
        </is>
      </c>
      <c r="D199" s="10" t="inlineStr">
        <is>
          <t>Modelo próprio · Cor: `black` · Formato: 4:5</t>
        </is>
      </c>
      <c r="E19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Three-quarter view, body turned to the camera's right, head turned to his left (camera right) with the gaze off-camera, arms relaxed at the sides showing the ribbed cuffs. Framing from the head to upper thigh. CRITICAL: absolutely no text, no letters, no logos, no labels, no brand tags visible, no watermark, no graphic overlays, no icons. Plain garment exactly as described, correct anatomy, five fingers per hand.</t>
        </is>
      </c>
      <c r="F199" s="11" t="inlineStr">
        <is>
          <t>A gerar</t>
        </is>
      </c>
    </row>
    <row r="200" ht="300" customHeight="1">
      <c r="A200" s="10" t="inlineStr">
        <is>
          <t>P26</t>
        </is>
      </c>
      <c r="B200" s="10" t="inlineStr">
        <is>
          <t>F5 — Detalhe gola com camiseta</t>
        </is>
      </c>
      <c r="C200" s="10" t="inlineStr">
        <is>
          <t>Origem: foto #5 (laranja, recorte do nariz ao peito)</t>
        </is>
      </c>
      <c r="D200" s="10" t="inlineStr">
        <is>
          <t>Modelo próprio · Cor: `black` · Formato: 4:5</t>
        </is>
      </c>
      <c r="E20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Tight detail crop from the nose down to mid-chest, centered on the ribbed crew neck with a thin edge of a white crew-neck t-shirt visible inside the collar; the shoulder seam and the smooth fleece face visible. Macro sharpness on the rib texture. CRITICAL: absolutely no text, no letters, no logos, no labels, no brand tags visible, no watermark, no graphic overlays, no icons. Plain garment exactly as described, correct anatomy, five fingers per hand.</t>
        </is>
      </c>
      <c r="F200" s="11" t="inlineStr">
        <is>
          <t>A gerar</t>
        </is>
      </c>
    </row>
    <row r="201" ht="300" customHeight="1">
      <c r="A201" s="10" t="inlineStr">
        <is>
          <t>P26</t>
        </is>
      </c>
      <c r="B201" s="10" t="inlineStr">
        <is>
          <t>F6 — Frontal olhar firme</t>
        </is>
      </c>
      <c r="C201" s="10" t="inlineStr">
        <is>
          <t>Origem: foto #6 (laranja, frontal)</t>
        </is>
      </c>
      <c r="D201" s="10" t="inlineStr">
        <is>
          <t>Modelo próprio · Cor: `black` · Formato: 4:5</t>
        </is>
      </c>
      <c r="E20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Frontal view, direct gaze into the camera, arms relaxed at the sides with the ribbed cuffs gathering at the wrists. Framing from the head to upper thigh. CRITICAL: absolutely no text, no letters, no logos, no labels, no brand tags visible, no watermark, no graphic overlays, no icons. Plain garment exactly as described, correct anatomy, five fingers per hand.</t>
        </is>
      </c>
      <c r="F201" s="11" t="inlineStr">
        <is>
          <t>A gerar</t>
        </is>
      </c>
    </row>
    <row r="202" ht="300" customHeight="1">
      <c r="A202" s="10" t="inlineStr">
        <is>
          <t>P26</t>
        </is>
      </c>
      <c r="B202" s="10" t="inlineStr">
        <is>
          <t>F7 — Perfil 3/4 olhando para o lado</t>
        </is>
      </c>
      <c r="C202" s="10" t="inlineStr">
        <is>
          <t>Origem: foto #7 (laranja, corpo 3/4, rosto de perfil)</t>
        </is>
      </c>
      <c r="D202" s="10" t="inlineStr">
        <is>
          <t>Modelo próprio · Cor: `black` · Formato: 4:5</t>
        </is>
      </c>
      <c r="E20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Three-quarter view with the body turned to the camera's left, head in near-profile looking off to his right (camera left), arms relaxed. Framing from the head to upper thigh. CRITICAL: absolutely no text, no letters, no logos, no labels, no brand tags visible, no watermark, no graphic overlays, no icons. Plain garment exactly as described, correct anatomy, five fingers per hand.</t>
        </is>
      </c>
      <c r="F202" s="11" t="inlineStr">
        <is>
          <t>A gerar</t>
        </is>
      </c>
    </row>
    <row r="203" ht="300" customHeight="1">
      <c r="A203" s="10" t="inlineStr">
        <is>
          <t>P26</t>
        </is>
      </c>
      <c r="B203" s="10" t="inlineStr">
        <is>
          <t>F8 — 3/4 olhar para cima</t>
        </is>
      </c>
      <c r="C203" s="10" t="inlineStr">
        <is>
          <t>Origem: foto #8 (azul, 3/4, olhar para o lado e para cima)</t>
        </is>
      </c>
      <c r="D203" s="10" t="inlineStr">
        <is>
          <t>Modelo próprio · Cor: `black` · Formato: 4:5</t>
        </is>
      </c>
      <c r="E20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Slight three-quarter view to the camera's right, head turned to his left gazing slightly upward off-camera, arms relaxed; a thin edge of a white t-shirt visible inside the collar. Framing from the head to upper thigh. CRITICAL: absolutely no text, no letters, no logos, no labels, no brand tags visible, no watermark, no graphic overlays, no icons. Plain garment exactly as described, correct anatomy, five fingers per hand.</t>
        </is>
      </c>
      <c r="F203" s="11" t="inlineStr">
        <is>
          <t>A gerar</t>
        </is>
      </c>
    </row>
    <row r="204" ht="300" customHeight="1">
      <c r="A204" s="10" t="inlineStr">
        <is>
          <t>P26</t>
        </is>
      </c>
      <c r="B204" s="10" t="inlineStr">
        <is>
          <t>F9 — Ajustando o punho</t>
        </is>
      </c>
      <c r="C204" s="10" t="inlineStr">
        <is>
          <t>Origem: foto #9 (azul, mão ajustando o punho)</t>
        </is>
      </c>
      <c r="D204" s="10" t="inlineStr">
        <is>
          <t>Modelo próprio · Cor: `black` · Formato: 4:5</t>
        </is>
      </c>
      <c r="E20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Three-quarter view to the camera's right, looking off to the side; his right hand adjusts the ribbed cuff of the left sleeve at waist height, showing the cuff stretch. Framing from the head to upper thigh. CRITICAL: absolutely no text, no letters, no logos, no labels, no brand tags visible, no watermark, no graphic overlays, no icons. Plain garment exactly as described, correct anatomy, five fingers per hand.</t>
        </is>
      </c>
      <c r="F204" s="11" t="inlineStr">
        <is>
          <t>A gerar</t>
        </is>
      </c>
    </row>
    <row r="205" ht="300" customHeight="1">
      <c r="A205" s="10" t="inlineStr">
        <is>
          <t>P26</t>
        </is>
      </c>
      <c r="B205" s="10" t="inlineStr">
        <is>
          <t>F10 — Frontal com camiseta aparente</t>
        </is>
      </c>
      <c r="C205" s="10" t="inlineStr">
        <is>
          <t>Origem: foto #10 (azul, frontal)</t>
        </is>
      </c>
      <c r="D205" s="10" t="inlineStr">
        <is>
          <t>Modelo próprio · Cor: `black` · Formato: 4:5</t>
        </is>
      </c>
      <c r="E20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Frontal view, looking into the camera, arms relaxed at the sides, a thin edge of a white t-shirt visible inside the collar. Framing from the head to upper thigh. CRITICAL: absolutely no text, no letters, no logos, no labels, no brand tags visible, no watermark, no graphic overlays, no icons. Plain garment exactly as described, correct anatomy, five fingers per hand.</t>
        </is>
      </c>
      <c r="F205" s="11" t="inlineStr">
        <is>
          <t>A gerar</t>
        </is>
      </c>
    </row>
    <row r="206" ht="300" customHeight="1">
      <c r="A206" s="10" t="inlineStr">
        <is>
          <t>P26</t>
        </is>
      </c>
      <c r="B206" s="10" t="inlineStr">
        <is>
          <t>F11 — Frontal claro</t>
        </is>
      </c>
      <c r="C206" s="10" t="inlineStr">
        <is>
          <t>Origem: foto #11 (branco/off-white, frontal)</t>
        </is>
      </c>
      <c r="D206" s="10" t="inlineStr">
        <is>
          <t>Modelo próprio · Cor: `black` · Formato: 4:5</t>
        </is>
      </c>
      <c r="E20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Frontal view, direct gaze into the camera, arms relaxed and slightly away from the body, fingers curled. Framing from the head to upper thigh. CRITICAL: absolutely no text, no letters, no logos, no labels, no brand tags visible, no watermark, no graphic overlays, no icons. Plain garment exactly as described, correct anatomy, five fingers per hand.</t>
        </is>
      </c>
      <c r="F206" s="11" t="inlineStr">
        <is>
          <t>A gerar</t>
        </is>
      </c>
    </row>
    <row r="207" ht="300" customHeight="1">
      <c r="A207" s="10" t="inlineStr">
        <is>
          <t>P26</t>
        </is>
      </c>
      <c r="B207" s="10" t="inlineStr">
        <is>
          <t>F12 — Frontal centralizado</t>
        </is>
      </c>
      <c r="C207" s="10" t="inlineStr">
        <is>
          <t>Origem: foto #12 (branco/off-white, frontal centralizado)</t>
        </is>
      </c>
      <c r="D207" s="10" t="inlineStr">
        <is>
          <t>Modelo próprio · Cor: `black` · Formato: 4:5</t>
        </is>
      </c>
      <c r="E20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Frontal, perfectly centered symmetrical stance, arms hanging straight at the sides, looking into the camera. Framing from the head to upper thigh. CRITICAL: absolutely no text, no letters, no logos, no labels, no brand tags visible, no watermark, no graphic overlays, no icons. Plain garment exactly as described, correct anatomy, five fingers per hand.</t>
        </is>
      </c>
      <c r="F207" s="11" t="inlineStr">
        <is>
          <t>A gerar</t>
        </is>
      </c>
    </row>
    <row r="208" ht="300" customHeight="1">
      <c r="A208" s="10" t="inlineStr">
        <is>
          <t>P26</t>
        </is>
      </c>
      <c r="B208" s="10" t="inlineStr">
        <is>
          <t>F13 — Mãos cruzadas no punho</t>
        </is>
      </c>
      <c r="C208" s="10" t="inlineStr">
        <is>
          <t>Origem: foto #13 (branco/off-white, 3/4, mãos juntas)</t>
        </is>
      </c>
      <c r="D208" s="10" t="inlineStr">
        <is>
          <t>Modelo próprio · Cor: `black` · Formato: 4:5</t>
        </is>
      </c>
      <c r="E20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Three-quarter view to the camera's right, head turned to his left looking off-camera; both hands meet at chest height, the right hand adjusting the left cuff. Framing from the head to upper thigh. CRITICAL: absolutely no text, no letters, no logos, no labels, no brand tags visible, no watermark, no graphic overlays, no icons. Plain garment exactly as described, correct anatomy, five fingers per hand.</t>
        </is>
      </c>
      <c r="F208" s="11" t="inlineStr">
        <is>
          <t>A gerar</t>
        </is>
      </c>
    </row>
    <row r="209" ht="300" customHeight="1">
      <c r="A209" s="10" t="inlineStr">
        <is>
          <t>P26</t>
        </is>
      </c>
      <c r="B209" s="10" t="inlineStr">
        <is>
          <t>F14 — Frontal marinho</t>
        </is>
      </c>
      <c r="C209" s="10" t="inlineStr">
        <is>
          <t>Origem: foto #14 (marinho, frontal)</t>
        </is>
      </c>
      <c r="D209" s="10" t="inlineStr">
        <is>
          <t>Modelo próprio · Cor: `black` · Formato: 4:5</t>
        </is>
      </c>
      <c r="E20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Frontal view, arms relaxed at the sides, looking into the camera with a calm expression. Framing from the head to upper thigh. CRITICAL: absolutely no text, no letters, no logos, no labels, no brand tags visible, no watermark, no graphic overlays, no icons. Plain garment exactly as described, correct anatomy, five fingers per hand.</t>
        </is>
      </c>
      <c r="F209" s="11" t="inlineStr">
        <is>
          <t>A gerar</t>
        </is>
      </c>
    </row>
    <row r="210" ht="300" customHeight="1">
      <c r="A210" s="10" t="inlineStr">
        <is>
          <t>P26</t>
        </is>
      </c>
      <c r="B210" s="10" t="inlineStr">
        <is>
          <t>F15 — Leve 3/4 marinho</t>
        </is>
      </c>
      <c r="C210" s="10" t="inlineStr">
        <is>
          <t>Origem: foto #15 (marinho, leve 3/4)</t>
        </is>
      </c>
      <c r="D210" s="10" t="inlineStr">
        <is>
          <t>Modelo próprio · Cor: `black` · Formato: 4:5</t>
        </is>
      </c>
      <c r="E21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late 30s, lean athletic build, short dark brown hair with volume brushed up and back, neat dark moustache with light stubble on the chin and jaw, calm confident expression, no visible tattoos. He wears a regular-fit crewneck sweatshirt in heavyweight 320gsm three-thread fleece (50% cotton / 50% polyester), black, smooth matte outer face with a brushed fleece inside, set-in sleeves with the shoulder seam on the shoulder point, reinforced 3 cm 1x1 ribbed crew neck, long sleeves ending in 1x1 ribbed cuffs about 6–7 cm tall at the wrist, a wide 1x1 ribbed waistband about 7 cm tall at the hip, no hood, no pocket, no print, tucked out, paired with black slim jeans. Fabric and construction: dense heavyweight 320gsm fleece — thick and substantial, the body keeps a clean structured shape and falls in a few broad soft folds, with a slight blousing where the ribbed waistband gathers the body at the hip and soft rounded bunching of the sleeves just above the ribbed cuffs. Fully matte face, no sheen, no pilling. Firm thick 3 cm ribbed collar holding a round neckline; tonal reinforced seams; shoulder-to-shoulder internal tape. Movement: heavy and slow — when the arms bend, thick rounded folds form at the inner elbow; the fabric never collapses or clings. Fit on the model (size M on a 1.84 m, 84 kg man): regular fit — body length 72 cm with the ribbed waistband sitting at the hip over the jeans waistband; chest width 54 cm flat (about 108 cm around) giving comfortable ease; shoulder width 46 cm with the seam on the shoulder point; sleeve length 62 cm from shoulder to cuff end, the cuff resting at the wrist with slight stacking. Slight three-quarter view, body angled to the camera's left, face toward the camera, arms relaxed. Framing from the head to upper thigh. CRITICAL: absolutely no text, no letters, no logos, no labels, no brand tags visible, no watermark, no graphic overlays, no icons. Plain garment exactly as described, correct anatomy, five fingers per hand.</t>
        </is>
      </c>
      <c r="F210" s="11" t="inlineStr">
        <is>
          <t>A gerar</t>
        </is>
      </c>
    </row>
    <row r="211" ht="300" customHeight="1">
      <c r="A211" s="10" t="inlineStr">
        <is>
          <t>P27</t>
        </is>
      </c>
      <c r="B211" s="10" t="inlineStr">
        <is>
          <t>F1 — Close ajustando a gola</t>
        </is>
      </c>
      <c r="C211" s="10" t="inlineStr">
        <is>
          <t>Origem: foto #1 (off-white, recorte cabeça ao peito, mão na gola)</t>
        </is>
      </c>
      <c r="D211" s="10" t="inlineStr">
        <is>
          <t>Modelo próprio · Cor: `off-white` · Formato: 4:5</t>
        </is>
      </c>
      <c r="E21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Close three-quarter portrait, body angled to the camera's right, head tilted slightly, looking into the camera; his right hand lightly pinches the neckline at the collarbone. Framing from the top of the head to mid-chest, the raglan seam visible across the shoulder. CRITICAL: absolutely no text, no letters, no logos, no labels, no brand tags visible, no watermark, no graphic overlays, no icons. Plain garment exactly as described, correct anatomy, five fingers per hand.</t>
        </is>
      </c>
      <c r="F211" s="11" t="inlineStr">
        <is>
          <t>A gerar</t>
        </is>
      </c>
    </row>
    <row r="212" ht="300" customHeight="1">
      <c r="A212" s="10" t="inlineStr">
        <is>
          <t>P27</t>
        </is>
      </c>
      <c r="B212" s="10" t="inlineStr">
        <is>
          <t>F2 — 3/4 olhando para fora</t>
        </is>
      </c>
      <c r="C212" s="10" t="inlineStr">
        <is>
          <t>Origem: foto #2 (off-white, 3/4)</t>
        </is>
      </c>
      <c r="D212" s="10" t="inlineStr">
        <is>
          <t>Modelo próprio · Cor: `off-white` · Formato: 4:5</t>
        </is>
      </c>
      <c r="E21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Three-quarter view, body turned to the camera's left, head turned to his right (camera left) looking off-camera, arms relaxed at the sides; the diagonal raglan seam clearly visible on the near shoulder. Framing from the head to upper thigh. CRITICAL: absolutely no text, no letters, no logos, no labels, no brand tags visible, no watermark, no graphic overlays, no icons. Plain garment exactly as described, correct anatomy, five fingers per hand.</t>
        </is>
      </c>
      <c r="F212" s="11" t="inlineStr">
        <is>
          <t>A gerar</t>
        </is>
      </c>
    </row>
    <row r="213" ht="300" customHeight="1">
      <c r="A213" s="10" t="inlineStr">
        <is>
          <t>P27</t>
        </is>
      </c>
      <c r="B213" s="10" t="inlineStr">
        <is>
          <t>F3 — Frontal leve 3/4</t>
        </is>
      </c>
      <c r="C213" s="10" t="inlineStr">
        <is>
          <t>Origem: foto #3 (preto, leve 3/4)</t>
        </is>
      </c>
      <c r="D213" s="10" t="inlineStr">
        <is>
          <t>Modelo próprio · Cor: `off-white` · Formato: 4:5</t>
        </is>
      </c>
      <c r="E21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Slight three-quarter view, body turned a little to the camera's right, face toward the camera, arms relaxed with fingers curled. Framing from the head to upper thigh. CRITICAL: absolutely no text, no letters, no logos, no labels, no brand tags visible, no watermark, no graphic overlays, no icons. Plain garment exactly as described, correct anatomy, five fingers per hand.</t>
        </is>
      </c>
      <c r="F213" s="11" t="inlineStr">
        <is>
          <t>A gerar</t>
        </is>
      </c>
    </row>
    <row r="214" ht="300" customHeight="1">
      <c r="A214" s="10" t="inlineStr">
        <is>
          <t>P27</t>
        </is>
      </c>
      <c r="B214" s="10" t="inlineStr">
        <is>
          <t>F4 — Mão na gola, frontal</t>
        </is>
      </c>
      <c r="C214" s="10" t="inlineStr">
        <is>
          <t>Origem: foto #4 (preto, mão direita na gola)</t>
        </is>
      </c>
      <c r="D214" s="10" t="inlineStr">
        <is>
          <t>Modelo próprio · Cor: `off-white` · Formato: 4:5</t>
        </is>
      </c>
      <c r="E21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Frontal view, looking into the camera; his right hand raised to the collar, fingers resting on the neckline near the shoulder, lifting the sleeve so the raglan seam shows its free movement; left arm relaxed. Framing from the head to upper thigh. CRITICAL: absolutely no text, no letters, no logos, no labels, no brand tags visible, no watermark, no graphic overlays, no icons. Plain garment exactly as described, correct anatomy, five fingers per hand.</t>
        </is>
      </c>
      <c r="F214" s="11" t="inlineStr">
        <is>
          <t>A gerar</t>
        </is>
      </c>
    </row>
    <row r="215" ht="300" customHeight="1">
      <c r="A215" s="10" t="inlineStr">
        <is>
          <t>P27</t>
        </is>
      </c>
      <c r="B215" s="10" t="inlineStr">
        <is>
          <t>F5 — 3/4 cabeça inclinada</t>
        </is>
      </c>
      <c r="C215" s="10" t="inlineStr">
        <is>
          <t>Origem: foto #5 (preto, 3/4, mãos atrás/soltas)</t>
        </is>
      </c>
      <c r="D215" s="10" t="inlineStr">
        <is>
          <t>Modelo próprio · Cor: `off-white` · Formato: 4:5</t>
        </is>
      </c>
      <c r="E21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Three-quarter view to the camera's left, head tilted, looking into the camera, both arms relaxed slightly behind the hips. Framing from the head to upper thigh. CRITICAL: absolutely no text, no letters, no logos, no labels, no brand tags visible, no watermark, no graphic overlays, no icons. Plain garment exactly as described, correct anatomy, five fingers per hand.</t>
        </is>
      </c>
      <c r="F215" s="11" t="inlineStr">
        <is>
          <t>A gerar</t>
        </is>
      </c>
    </row>
    <row r="216" ht="300" customHeight="1">
      <c r="A216" s="10" t="inlineStr">
        <is>
          <t>P27</t>
        </is>
      </c>
      <c r="B216" s="10" t="inlineStr">
        <is>
          <t>F6 — Frontal centralizado</t>
        </is>
      </c>
      <c r="C216" s="10" t="inlineStr">
        <is>
          <t>Origem: foto #6 (marinho, frontal)</t>
        </is>
      </c>
      <c r="D216" s="10" t="inlineStr">
        <is>
          <t>Modelo próprio · Cor: `off-white` · Formato: 4:5</t>
        </is>
      </c>
      <c r="E21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Frontal, symmetrical stance, arms hanging relaxed at the sides, direct gaze into the camera. Framing from the head to upper thigh. CRITICAL: absolutely no text, no letters, no logos, no labels, no brand tags visible, no watermark, no graphic overlays, no icons. Plain garment exactly as described, correct anatomy, five fingers per hand.</t>
        </is>
      </c>
      <c r="F216" s="11" t="inlineStr">
        <is>
          <t>A gerar</t>
        </is>
      </c>
    </row>
    <row r="217" ht="300" customHeight="1">
      <c r="A217" s="10" t="inlineStr">
        <is>
          <t>P27</t>
        </is>
      </c>
      <c r="B217" s="10" t="inlineStr">
        <is>
          <t>F7 — 3/4 olhar na câmera</t>
        </is>
      </c>
      <c r="C217" s="10" t="inlineStr">
        <is>
          <t>Origem: foto #7 (marinho, 3/4)</t>
        </is>
      </c>
      <c r="D217" s="10" t="inlineStr">
        <is>
          <t>Modelo próprio · Cor: `off-white` · Formato: 4:5</t>
        </is>
      </c>
      <c r="E21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Three-quarter view to the camera's left, face toward the camera with a slight head tilt, arms relaxed, hands near the thighs. Framing from the head to upper thigh. CRITICAL: absolutely no text, no letters, no logos, no labels, no brand tags visible, no watermark, no graphic overlays, no icons. Plain garment exactly as described, correct anatomy, five fingers per hand.</t>
        </is>
      </c>
      <c r="F217" s="11" t="inlineStr">
        <is>
          <t>A gerar</t>
        </is>
      </c>
    </row>
    <row r="218" ht="300" customHeight="1">
      <c r="A218" s="10" t="inlineStr">
        <is>
          <t>P27</t>
        </is>
      </c>
      <c r="B218" s="10" t="inlineStr">
        <is>
          <t>F8 — Detalhe da costura raglan</t>
        </is>
      </c>
      <c r="C218" s="10" t="inlineStr">
        <is>
          <t>Origem: foto #8 (marinho, recorte do queixo ao peito)</t>
        </is>
      </c>
      <c r="D218" s="10" t="inlineStr">
        <is>
          <t>Modelo próprio · Cor: `off-white` · Formato: 4:5</t>
        </is>
      </c>
      <c r="E21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Tight detail crop from the lips and beard down to mid-chest, off-center to the camera's right: the narrow ribbed crew neck and the diagonal raglan seam running from the neckline down across the shoulder toward the underarm. Macro-level sharpness on the seam and the jersey texture. CRITICAL: absolutely no text, no letters, no logos, no labels, no brand tags visible, no watermark, no graphic overlays, no icons. Plain garment exactly as described, correct anatomy, five fingers per hand.</t>
        </is>
      </c>
      <c r="F218" s="11" t="inlineStr">
        <is>
          <t>A gerar</t>
        </is>
      </c>
    </row>
    <row r="219" ht="300" customHeight="1">
      <c r="A219" s="10" t="inlineStr">
        <is>
          <t>P27</t>
        </is>
      </c>
      <c r="B219" s="10" t="inlineStr">
        <is>
          <t>F9 — Frontal verde</t>
        </is>
      </c>
      <c r="C219" s="10" t="inlineStr">
        <is>
          <t>Origem: foto #9 (verde, frontal — PNG com sinais de edição)</t>
        </is>
      </c>
      <c r="D219" s="10" t="inlineStr">
        <is>
          <t>Modelo próprio · Cor: `off-white` · Formato: 4:5</t>
        </is>
      </c>
      <c r="E21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Frontal view, looking into the camera, arms relaxed at the sides. Framing from the head to upper thigh. CRITICAL: absolutely no text, no letters, no logos, no labels, no brand tags visible, no watermark, no graphic overlays, no icons. Plain garment exactly as described, correct anatomy, five fingers per hand.</t>
        </is>
      </c>
      <c r="F219" s="11" t="inlineStr">
        <is>
          <t>A gerar</t>
        </is>
      </c>
    </row>
    <row r="220" ht="300" customHeight="1">
      <c r="A220" s="10" t="inlineStr">
        <is>
          <t>P27</t>
        </is>
      </c>
      <c r="B220" s="10" t="inlineStr">
        <is>
          <t>F10 — Detalhe gola com mão</t>
        </is>
      </c>
      <c r="C220" s="10" t="inlineStr">
        <is>
          <t>Origem: foto #10 (verde, recorte do nariz ao peito, mão na gola)</t>
        </is>
      </c>
      <c r="D220" s="10" t="inlineStr">
        <is>
          <t>Modelo próprio · Cor: `off-white` · Formato: 4:5</t>
        </is>
      </c>
      <c r="E22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Tight detail crop from the nose down to mid-chest; his right hand touches the collar near the shoulder, showing the ribbed neckline and the start of the raglan seam. Macro sharpness on the rib. CRITICAL: absolutely no text, no letters, no logos, no labels, no brand tags visible, no watermark, no graphic overlays, no icons. Plain garment exactly as described, correct anatomy, five fingers per hand.</t>
        </is>
      </c>
      <c r="F220" s="11" t="inlineStr">
        <is>
          <t>A gerar</t>
        </is>
      </c>
    </row>
    <row r="221" ht="300" customHeight="1">
      <c r="A221" s="10" t="inlineStr">
        <is>
          <t>P27</t>
        </is>
      </c>
      <c r="B221" s="10" t="inlineStr">
        <is>
          <t>F11 — 3/4 mãos juntas</t>
        </is>
      </c>
      <c r="C221" s="10" t="inlineStr">
        <is>
          <t>Origem: foto #11 (verde, 3/4, mãos juntas — PNG com sinais de edição)</t>
        </is>
      </c>
      <c r="D221" s="10" t="inlineStr">
        <is>
          <t>Modelo próprio · Cor: `off-white` · Formato: 4:5</t>
        </is>
      </c>
      <c r="E22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raglan t-shirt in heavyweight 300gsm two-ply single jersey, off-white, smooth dense knit with a soft subtle satin touch, raglan sleeves with a clean diagonal seam running from the neckline to the underarm (no shoulder seam),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it drapes with body: a few soft vertical folds on the torso and gentle bunching along the forearms. Mostly matte, with a faint satin glow only on the highlights of the folds. The raglan seams run diagonally from the neckline to the underarm, flat and tonal; narrow ribbed crew neck lying flat; plain turned hems at the cuffs and bottom with double-needle topstitching. Movement: the raglan sleeve lets the shoulder move freely — when he lifts an arm the diagonal seam rotates smoothly with no pulling across the top of the shoulder; the heavy jersey forms soft rounded folds at the inner elbow. Fit on the model (size M on a 1.84 m, 84 kg man): regular fit — body length 72 cm ending at the hip; chest width 54 cm flat (about 108 cm around) with easy relaxed room; sleeve 68 cm measured from the base of the neckline to the cuff end, reaching the wrist bone with a little stacking; the rounded raglan shoulder slopes naturally with no seam at the shoulder point. Three-quarter view to the camera's right, head turned to his left looking off-camera; both hands meet in front of the waist, one adjusting the other sleeve's hem. Framing from the head to upper thigh. CRITICAL: absolutely no text, no letters, no logos, no labels, no brand tags visible, no watermark, no graphic overlays, no icons. Plain garment exactly as described, correct anatomy, five fingers per hand.</t>
        </is>
      </c>
      <c r="F221" s="11" t="inlineStr">
        <is>
          <t>A gerar</t>
        </is>
      </c>
    </row>
    <row r="222" ht="300" customHeight="1">
      <c r="A222" s="10" t="inlineStr">
        <is>
          <t>P28</t>
        </is>
      </c>
      <c r="B222" s="10" t="inlineStr">
        <is>
          <t>F1 — 3/4 ajustando o punho</t>
        </is>
      </c>
      <c r="C222" s="10" t="inlineStr">
        <is>
          <t>Origem: foto #1 (bege/camelo, 3/4, olhar para o lado)</t>
        </is>
      </c>
      <c r="D222" s="10" t="inlineStr">
        <is>
          <t>Modelo próprio · Cor: `camel beige (warm sand-tan)` · Formato: 4:5</t>
        </is>
      </c>
      <c r="E22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Three-quarter view, body turned to the camera's right, head turned to his right (camera left) with the gaze off-camera; his right hand adjusts the ribbed cuff of the left sleeve in front of the waist, a plain dark ring on one finger. Framing from the head to upper thigh. CRITICAL: absolutely no text, no letters, no logos, no labels, no brand tags visible, no watermark, no graphic overlays, no icons. Plain garment exactly as described, correct anatomy, five fingers per hand.</t>
        </is>
      </c>
      <c r="F222" s="11" t="inlineStr">
        <is>
          <t>A gerar</t>
        </is>
      </c>
    </row>
    <row r="223" ht="300" customHeight="1">
      <c r="A223" s="10" t="inlineStr">
        <is>
          <t>P28</t>
        </is>
      </c>
      <c r="B223" s="10" t="inlineStr">
        <is>
          <t>F2 — Frontal mãos atrás</t>
        </is>
      </c>
      <c r="C223" s="10" t="inlineStr">
        <is>
          <t>Origem: foto #2 (bege/camelo, frontal)</t>
        </is>
      </c>
      <c r="D223" s="10" t="inlineStr">
        <is>
          <t>Modelo próprio · Cor: `camel beige (warm sand-tan)` · Formato: 4:5</t>
        </is>
      </c>
      <c r="E22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Frontal view, looking into the camera, both hands resting behind the hips so the kangaroo pocket and the two cream drawcords hang clean on the front. Framing from the head to upper thigh. CRITICAL: absolutely no text, no letters, no logos, no labels, no brand tags visible, no watermark, no graphic overlays, no icons. Plain garment exactly as described, correct anatomy, five fingers per hand.</t>
        </is>
      </c>
      <c r="F223" s="11" t="inlineStr">
        <is>
          <t>A gerar</t>
        </is>
      </c>
    </row>
    <row r="224" ht="300" customHeight="1">
      <c r="A224" s="10" t="inlineStr">
        <is>
          <t>P28</t>
        </is>
      </c>
      <c r="B224" s="10" t="inlineStr">
        <is>
          <t>F3 — Costas, rosto de perfil</t>
        </is>
      </c>
      <c r="C224" s="10" t="inlineStr">
        <is>
          <t>Origem: foto #3 (bege/camelo, costas)</t>
        </is>
      </c>
      <c r="D224" s="10" t="inlineStr">
        <is>
          <t>Modelo próprio · Cor: `camel beige (warm sand-tan)` · Formato: 4:5</t>
        </is>
      </c>
      <c r="E22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Back view, body turned away from the camera and slightly to the camera's right, head turned in profile over his right shoulder; the hood lies rounded on the upper back; his right hand rests at the back of the hip. Framing from the head to the jeans back pockets. CRITICAL: absolutely no text, no letters, no logos, no labels, no brand tags visible, no watermark, no graphic overlays, no icons. Plain garment exactly as described, correct anatomy, five fingers per hand.</t>
        </is>
      </c>
      <c r="F224" s="11" t="inlineStr">
        <is>
          <t>A gerar</t>
        </is>
      </c>
    </row>
    <row r="225" ht="300" customHeight="1">
      <c r="A225" s="10" t="inlineStr">
        <is>
          <t>P28</t>
        </is>
      </c>
      <c r="B225" s="10" t="inlineStr">
        <is>
          <t>F4 — Mãos no capuz</t>
        </is>
      </c>
      <c r="C225" s="10" t="inlineStr">
        <is>
          <t>Origem: foto #4 (bege/camelo, frontal, mãos no capuz)</t>
        </is>
      </c>
      <c r="D225" s="10" t="inlineStr">
        <is>
          <t>Modelo próprio · Cor: `camel beige (warm sand-tan)` · Formato: 4:5</t>
        </is>
      </c>
      <c r="E22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Frontal view, looking into the camera; both hands raised, gripping the edges of the hood at the sides of the neck as if about to pull it up, elbows out. Framing from the head to upper thigh. CRITICAL: absolutely no text, no letters, no logos, no labels, no brand tags visible, no watermark, no graphic overlays, no icons. Plain garment exactly as described, correct anatomy, five fingers per hand.</t>
        </is>
      </c>
      <c r="F225" s="11" t="inlineStr">
        <is>
          <t>A gerar</t>
        </is>
      </c>
    </row>
    <row r="226" ht="300" customHeight="1">
      <c r="A226" s="10" t="inlineStr">
        <is>
          <t>P28</t>
        </is>
      </c>
      <c r="B226" s="10" t="inlineStr">
        <is>
          <t>F5 — 3/4 ajustando a manga (preto)</t>
        </is>
      </c>
      <c r="C226" s="10" t="inlineStr">
        <is>
          <t>Origem: foto #5 (preto, 3/4, mão no punho)</t>
        </is>
      </c>
      <c r="D226" s="10" t="inlineStr">
        <is>
          <t>Modelo próprio · Cor: `camel beige (warm sand-tan)` · Formato: 4:5</t>
        </is>
      </c>
      <c r="E22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Three-quarter view to the camera's left, head tilted, looking into the camera; his right hand holds the left cuff at waist height, a ring on one finger. Framing from the head to upper thigh. CRITICAL: absolutely no text, no letters, no logos, no labels, no brand tags visible, no watermark, no graphic overlays, no icons. Plain garment exactly as described, correct anatomy, five fingers per hand.</t>
        </is>
      </c>
      <c r="F226" s="11" t="inlineStr">
        <is>
          <t>A gerar</t>
        </is>
      </c>
    </row>
    <row r="227" ht="300" customHeight="1">
      <c r="A227" s="10" t="inlineStr">
        <is>
          <t>P28</t>
        </is>
      </c>
      <c r="B227" s="10" t="inlineStr">
        <is>
          <t>F6 — Frontal mão no bolso da calça</t>
        </is>
      </c>
      <c r="C227" s="10" t="inlineStr">
        <is>
          <t>Origem: foto #6 (preto, frontal)</t>
        </is>
      </c>
      <c r="D227" s="10" t="inlineStr">
        <is>
          <t>Modelo próprio · Cor: `camel beige (warm sand-tan)` · Formato: 4:5</t>
        </is>
      </c>
      <c r="E22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Frontal view, looking into the camera, right arm relaxed at the side, left hand tucked into the front jeans pocket under the hoodie hem. Framing from the head to upper thigh. CRITICAL: absolutely no text, no letters, no logos, no labels, no brand tags visible, no watermark, no graphic overlays, no icons. Plain garment exactly as described, correct anatomy, five fingers per hand.</t>
        </is>
      </c>
      <c r="F227" s="11" t="inlineStr">
        <is>
          <t>A gerar</t>
        </is>
      </c>
    </row>
    <row r="228" ht="300" customHeight="1">
      <c r="A228" s="10" t="inlineStr">
        <is>
          <t>P28</t>
        </is>
      </c>
      <c r="B228" s="10" t="inlineStr">
        <is>
          <t>F7 — Mãos no bolso canguru</t>
        </is>
      </c>
      <c r="C228" s="10" t="inlineStr">
        <is>
          <t>Origem: foto #7 (preto, frontal, mãos no canguru)</t>
        </is>
      </c>
      <c r="D228" s="10" t="inlineStr">
        <is>
          <t>Modelo próprio · Cor: `camel beige (warm sand-tan)` · Formato: 4:5</t>
        </is>
      </c>
      <c r="E22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Frontal, symmetrical stance, direct gaze into the camera, both hands inside the kangaroo pocket, elbows slightly out, the front panel forming gentle diagonal tension folds. Framing from the head to upper thigh. CRITICAL: absolutely no text, no letters, no logos, no labels, no brand tags visible, no watermark, no graphic overlays, no icons. Plain garment exactly as described, correct anatomy, five fingers per hand.</t>
        </is>
      </c>
      <c r="F228" s="11" t="inlineStr">
        <is>
          <t>A gerar</t>
        </is>
      </c>
    </row>
    <row r="229" ht="300" customHeight="1">
      <c r="A229" s="10" t="inlineStr">
        <is>
          <t>P28</t>
        </is>
      </c>
      <c r="B229" s="10" t="inlineStr">
        <is>
          <t>F8 — Canguru, olhar para fora (claro)</t>
        </is>
      </c>
      <c r="C229" s="10" t="inlineStr">
        <is>
          <t>Origem: foto #8 (off-white, mãos no canguru, rosto virado)</t>
        </is>
      </c>
      <c r="D229" s="10" t="inlineStr">
        <is>
          <t>Modelo próprio · Cor: `camel beige (warm sand-tan)` · Formato: 4:5</t>
        </is>
      </c>
      <c r="E22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Slight three-quarter view, both hands inside the kangaroo pocket, head turned to his left (camera right) looking off-camera, a dark cord bracelet on the left wrist. Framing from the head to upper thigh. CRITICAL: absolutely no text, no letters, no logos, no labels, no brand tags visible, no watermark, no graphic overlays, no icons. Plain garment exactly as described, correct anatomy, five fingers per hand.</t>
        </is>
      </c>
      <c r="F229" s="11" t="inlineStr">
        <is>
          <t>A gerar</t>
        </is>
      </c>
    </row>
    <row r="230" ht="300" customHeight="1">
      <c r="A230" s="10" t="inlineStr">
        <is>
          <t>P28</t>
        </is>
      </c>
      <c r="B230" s="10" t="inlineStr">
        <is>
          <t>F9 — Frontal claro mãos atrás</t>
        </is>
      </c>
      <c r="C230" s="10" t="inlineStr">
        <is>
          <t>Origem: foto #9 (off-white, frontal)</t>
        </is>
      </c>
      <c r="D230" s="10" t="inlineStr">
        <is>
          <t>Modelo próprio · Cor: `camel beige (warm sand-tan)` · Formato: 4:5</t>
        </is>
      </c>
      <c r="E23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Frontal view, looking into the camera, hands resting behind the hips, the tonal cream drawcords almost blending with the fabric. Framing from the head to upper thigh. CRITICAL: absolutely no text, no letters, no logos, no labels, no brand tags visible, no watermark, no graphic overlays, no icons. Plain garment exactly as described, correct anatomy, five fingers per hand.</t>
        </is>
      </c>
      <c r="F230" s="11" t="inlineStr">
        <is>
          <t>A gerar</t>
        </is>
      </c>
    </row>
    <row r="231" ht="300" customHeight="1">
      <c r="A231" s="10" t="inlineStr">
        <is>
          <t>P28</t>
        </is>
      </c>
      <c r="B231" s="10" t="inlineStr">
        <is>
          <t>F10 — Ajustando o punho (claro)</t>
        </is>
      </c>
      <c r="C231" s="10" t="inlineStr">
        <is>
          <t>Origem: foto #10 (off-white, frontal, mão no punho)</t>
        </is>
      </c>
      <c r="D231" s="10" t="inlineStr">
        <is>
          <t>Modelo próprio · Cor: `camel beige (warm sand-tan)` · Formato: 4:5</t>
        </is>
      </c>
      <c r="E23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Frontal view, looking into the camera; his right hand adjusts the left ribbed cuff in front of the hip, a dark bracelet on the left wrist and a ring on the right hand. Framing from the head to upper thigh. CRITICAL: absolutely no text, no letters, no logos, no labels, no brand tags visible, no watermark, no graphic overlays, no icons. Plain garment exactly as described, correct anatomy, five fingers per hand.</t>
        </is>
      </c>
      <c r="F231" s="11" t="inlineStr">
        <is>
          <t>A gerar</t>
        </is>
      </c>
    </row>
    <row r="232" ht="300" customHeight="1">
      <c r="A232" s="10" t="inlineStr">
        <is>
          <t>P28</t>
        </is>
      </c>
      <c r="B232" s="10" t="inlineStr">
        <is>
          <t>F11 — Costas (claro)</t>
        </is>
      </c>
      <c r="C232" s="10" t="inlineStr">
        <is>
          <t>Origem: foto #11 (off-white, costas)</t>
        </is>
      </c>
      <c r="D232" s="10" t="inlineStr">
        <is>
          <t>Modelo próprio · Cor: `camel beige (warm sand-tan)` · Formato: 4:5</t>
        </is>
      </c>
      <c r="E23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Back view, standing straight with arms relaxed at the sides, head turned slightly to his left showing the profile edge; the rounded double hood lies on the upper back, ribbed waistband at the hip. Framing from the head to the jeans back pockets. CRITICAL: absolutely no text, no letters, no logos, no labels, no brand tags visible, no watermark, no graphic overlays, no icons. Plain garment exactly as described, correct anatomy, five fingers per hand.</t>
        </is>
      </c>
      <c r="F232" s="11" t="inlineStr">
        <is>
          <t>A gerar</t>
        </is>
      </c>
    </row>
    <row r="233" ht="300" customHeight="1">
      <c r="A233" s="10" t="inlineStr">
        <is>
          <t>P28</t>
        </is>
      </c>
      <c r="B233" s="10" t="inlineStr">
        <is>
          <t>F12 — Segurando o cordão</t>
        </is>
      </c>
      <c r="C233" s="10" t="inlineStr">
        <is>
          <t>Origem: foto #12 (marinho, 3/4, mão no cordão)</t>
        </is>
      </c>
      <c r="D233" s="10" t="inlineStr">
        <is>
          <t>Modelo próprio · Cor: `camel beige (warm sand-tan)` · Formato: 4:5</t>
        </is>
      </c>
      <c r="E23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Three-quarter view to the camera's right, head tilted down with the gaze lowered; his right hand holds one drawcord at chest height, left hand in the front jeans pocket. Framing from the head to upper thigh. CRITICAL: absolutely no text, no letters, no logos, no labels, no brand tags visible, no watermark, no graphic overlays, no icons. Plain garment exactly as described, correct anatomy, five fingers per hand.</t>
        </is>
      </c>
      <c r="F233" s="11" t="inlineStr">
        <is>
          <t>A gerar</t>
        </is>
      </c>
    </row>
    <row r="234" ht="300" customHeight="1">
      <c r="A234" s="10" t="inlineStr">
        <is>
          <t>P28</t>
        </is>
      </c>
      <c r="B234" s="10" t="inlineStr">
        <is>
          <t>F13 — Close retrato com capuz</t>
        </is>
      </c>
      <c r="C234" s="10" t="inlineStr">
        <is>
          <t>Origem: foto #13 (marinho, close do rosto ao peito)</t>
        </is>
      </c>
      <c r="D234" s="10" t="inlineStr">
        <is>
          <t>Modelo próprio · Cor: `camel beige (warm sand-tan)` · Formato: 4:5</t>
        </is>
      </c>
      <c r="E23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Close three-quarter portrait, body angled to the camera's left, head tilted, looking into the camera; framing from the top of the head to mid-chest, showing the hood's double-layer edge around the neck and the cream drawcord. Sharp focus on the fleece and the hood opening. CRITICAL: absolutely no text, no letters, no logos, no labels, no brand tags visible, no watermark, no graphic overlays, no icons. Plain garment exactly as described, correct anatomy, five fingers per hand.</t>
        </is>
      </c>
      <c r="F234" s="11" t="inlineStr">
        <is>
          <t>A gerar</t>
        </is>
      </c>
    </row>
    <row r="235" ht="300" customHeight="1">
      <c r="A235" s="10" t="inlineStr">
        <is>
          <t>P28</t>
        </is>
      </c>
      <c r="B235" s="10" t="inlineStr">
        <is>
          <t>F14 — Frontal mãos nos bolsos da calça</t>
        </is>
      </c>
      <c r="C235" s="10" t="inlineStr">
        <is>
          <t>Origem: foto #14 (marinho, frontal)</t>
        </is>
      </c>
      <c r="D235" s="10" t="inlineStr">
        <is>
          <t>Modelo próprio · Cor: `camel beige (warm sand-tan)` · Formato: 4:5</t>
        </is>
      </c>
      <c r="E23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Frontal view, looking into the camera, both hands tucked into the front jeans pockets below the ribbed waistband, a ring visible. Framing from the head to upper thigh. CRITICAL: absolutely no text, no letters, no logos, no labels, no brand tags visible, no watermark, no graphic overlays, no icons. Plain garment exactly as described, correct anatomy, five fingers per hand.</t>
        </is>
      </c>
      <c r="F235" s="11" t="inlineStr">
        <is>
          <t>A gerar</t>
        </is>
      </c>
    </row>
    <row r="236" ht="300" customHeight="1">
      <c r="A236" s="10" t="inlineStr">
        <is>
          <t>P28</t>
        </is>
      </c>
      <c r="B236" s="10" t="inlineStr">
        <is>
          <t>F15 — Canguru 3/4</t>
        </is>
      </c>
      <c r="C236" s="10" t="inlineStr">
        <is>
          <t>Origem: foto #15 (marinho, 3/4, mãos no canguru)</t>
        </is>
      </c>
      <c r="D236" s="10" t="inlineStr">
        <is>
          <t>Modelo próprio · Cor: `camel beige (warm sand-tan)` · Formato: 4:5</t>
        </is>
      </c>
      <c r="E23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pullover hoodie in 260gsm two-thread fleece (50% cotton / 50% polyester) with a soft brushed fleece inside, camel beige (warm sand-tan), smooth matte outer face, a lined double-layer hood with a neat crossover at the front of the neck, a flat natural-cream cotton drawcord hanging in two strands to mid-chest, a front kangaroo pocket with slanted side openings and topstitched edges, set-in sleeves with the shoulder seam on the shoulder point, 1x1 ribbed cuffs and a 1x1 ribbed waistband at the hip, tucked out, paired with light-blue faded slim jeans with small rips at the thighs. Fabric and construction: medium-heavy 260gsm fleece, soft and cozy, draping in rounded folds. The double-layer hood holds a full rounded shape standing around the neck when down, the inner layer in the same color visible at the opening. Kangaroo pocket with double-needle topstitched edges and reinforced corners; tonal reinforced seams; shoulder-to-shoulder tape; the ribbed cuffs and waistband gather softly with slight blousing above them. Fully matte, no sheen. Movement: soft and pliable — when the hands go into the pocket, the front panel pulls into gentle diagonal tension folds; the sleeves bunch softly above the cuffs; the drawcords swing freely. Fit on the model (size M on a 1.84 m, 84 kg man): regular fit — body length 72 cm with the ribbed waistband at the hip over the jeans; chest width 54 cm flat (about 108 cm around) giving relaxed ease; shoulder 46 cm with the seam on the shoulder point; sleeve 62 cm from shoulder to cuff end, the cuff at the wrist. Slight three-quarter view to the camera's right, head turned to his left looking off-camera, both hands inside the kangaroo pocket. Framing from the head to upper thigh. CRITICAL: absolutely no text, no letters, no logos, no labels, no brand tags visible, no watermark, no graphic overlays, no icons. Plain garment exactly as described, correct anatomy, five fingers per hand.</t>
        </is>
      </c>
      <c r="F236" s="11" t="inlineStr">
        <is>
          <t>A gerar</t>
        </is>
      </c>
    </row>
    <row r="237" ht="300" customHeight="1">
      <c r="A237" s="10" t="inlineStr">
        <is>
          <t>P29</t>
        </is>
      </c>
      <c r="B237" s="10" t="inlineStr">
        <is>
          <t>F1 — Frontal mãos juntas</t>
        </is>
      </c>
      <c r="C237" s="10" t="inlineStr">
        <is>
          <t>Origem: foto #1 (marinho, frontal, mãos juntas na cintura)</t>
        </is>
      </c>
      <c r="D237" s="10" t="inlineStr">
        <is>
          <t>Modelo próprio · Cor: `dark navy blue` · Formato: 4:5</t>
        </is>
      </c>
      <c r="E23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Frontal view, looking into the camera with lips slightly parted; both hands meet in front of the waist, one hand holding the other wrist, sleeves stacking softly at the wrists. Framing from the head to upper thigh. CRITICAL: absolutely no text, no letters, no logos, no labels, no brand tags visible, no watermark, no graphic overlays, no icons. Plain garment exactly as described, correct anatomy, five fingers per hand.</t>
        </is>
      </c>
      <c r="F237" s="11" t="inlineStr">
        <is>
          <t>A gerar</t>
        </is>
      </c>
    </row>
    <row r="238" ht="300" customHeight="1">
      <c r="A238" s="10" t="inlineStr">
        <is>
          <t>P29</t>
        </is>
      </c>
      <c r="B238" s="10" t="inlineStr">
        <is>
          <t>F2 — 3/4 olhar para fora</t>
        </is>
      </c>
      <c r="C238" s="10" t="inlineStr">
        <is>
          <t>Origem: foto #2 (marinho, 3/4)</t>
        </is>
      </c>
      <c r="D238" s="10" t="inlineStr">
        <is>
          <t>Modelo próprio · Cor: `dark navy blue` · Formato: 4:5</t>
        </is>
      </c>
      <c r="E23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Three-quarter view, body turned to the camera's right, head turned to his left (camera right) with a downward gaze off-camera, arms relaxed at the sides. Framing from the head to upper thigh. CRITICAL: absolutely no text, no letters, no logos, no labels, no brand tags visible, no watermark, no graphic overlays, no icons. Plain garment exactly as described, correct anatomy, five fingers per hand.</t>
        </is>
      </c>
      <c r="F238" s="11" t="inlineStr">
        <is>
          <t>A gerar</t>
        </is>
      </c>
    </row>
    <row r="239" ht="300" customHeight="1">
      <c r="A239" s="10" t="inlineStr">
        <is>
          <t>P29</t>
        </is>
      </c>
      <c r="B239" s="10" t="inlineStr">
        <is>
          <t>F3 — Frontal ajustando o punho</t>
        </is>
      </c>
      <c r="C239" s="10" t="inlineStr">
        <is>
          <t>Origem: foto #3 (marinho, frontal, mão no punho)</t>
        </is>
      </c>
      <c r="D239" s="10" t="inlineStr">
        <is>
          <t>Modelo próprio · Cor: `dark navy blue` · Formato: 4:5</t>
        </is>
      </c>
      <c r="E239"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Frontal view, looking into the camera; his right hand grips the left sleeve hem in front of the hip, adjusting it. Framing from the head to upper thigh. CRITICAL: absolutely no text, no letters, no logos, no labels, no brand tags visible, no watermark, no graphic overlays, no icons. Plain garment exactly as described, correct anatomy, five fingers per hand.</t>
        </is>
      </c>
      <c r="F239" s="11" t="inlineStr">
        <is>
          <t>A gerar</t>
        </is>
      </c>
    </row>
    <row r="240" ht="300" customHeight="1">
      <c r="A240" s="10" t="inlineStr">
        <is>
          <t>P29</t>
        </is>
      </c>
      <c r="B240" s="10" t="inlineStr">
        <is>
          <t>F4 — 3/4 claro</t>
        </is>
      </c>
      <c r="C240" s="10" t="inlineStr">
        <is>
          <t>Origem: foto #4 (off-white, 3/4)</t>
        </is>
      </c>
      <c r="D240" s="10" t="inlineStr">
        <is>
          <t>Modelo próprio · Cor: `dark navy blue` · Formato: 4:5</t>
        </is>
      </c>
      <c r="E240"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Three-quarter view to the camera's left, head turned slightly, looking just past the camera, arms relaxed with fingers curled. Framing from the head to upper thigh. CRITICAL: absolutely no text, no letters, no logos, no labels, no brand tags visible, no watermark, no graphic overlays, no icons. Plain garment exactly as described, correct anatomy, five fingers per hand.</t>
        </is>
      </c>
      <c r="F240" s="11" t="inlineStr">
        <is>
          <t>A gerar</t>
        </is>
      </c>
    </row>
    <row r="241" ht="300" customHeight="1">
      <c r="A241" s="10" t="inlineStr">
        <is>
          <t>P29</t>
        </is>
      </c>
      <c r="B241" s="10" t="inlineStr">
        <is>
          <t>F5 — Detalhe punho e barra</t>
        </is>
      </c>
      <c r="C241" s="10" t="inlineStr">
        <is>
          <t>Origem: foto #5 (off-white, recorte das mãos na cintura)</t>
        </is>
      </c>
      <c r="D241" s="10" t="inlineStr">
        <is>
          <t>Modelo próprio · Cor: `dark navy blue` · Formato: 4:5</t>
        </is>
      </c>
      <c r="E241"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Tight detail crop at waist height, no face: his right hand pinches the turned hem of the left sleeve at the wrist, showing the plain double-stitched sleeve hem and, below it, the straight double-stitched bottom hem over black jeans. Macro-level sharpness on the stitching and the jersey texture. CRITICAL: absolutely no text, no letters, no logos, no labels, no brand tags visible, no watermark, no graphic overlays, no icons. Plain garment exactly as described, correct anatomy, five fingers per hand.</t>
        </is>
      </c>
      <c r="F241" s="11" t="inlineStr">
        <is>
          <t>A gerar</t>
        </is>
      </c>
    </row>
    <row r="242" ht="300" customHeight="1">
      <c r="A242" s="10" t="inlineStr">
        <is>
          <t>P29</t>
        </is>
      </c>
      <c r="B242" s="10" t="inlineStr">
        <is>
          <t>F6 — Frontal ajustando a manga (claro)</t>
        </is>
      </c>
      <c r="C242" s="10" t="inlineStr">
        <is>
          <t>Origem: foto #6 (off-white, frontal)</t>
        </is>
      </c>
      <c r="D242" s="10" t="inlineStr">
        <is>
          <t>Modelo próprio · Cor: `dark navy blue` · Formato: 4:5</t>
        </is>
      </c>
      <c r="E242"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Frontal view, looking into the camera; his right hand adjusts the left sleeve hem at hip height. Framing from the head to upper thigh. CRITICAL: absolutely no text, no letters, no logos, no labels, no brand tags visible, no watermark, no graphic overlays, no icons. Plain garment exactly as described, correct anatomy, five fingers per hand.</t>
        </is>
      </c>
      <c r="F242" s="11" t="inlineStr">
        <is>
          <t>A gerar</t>
        </is>
      </c>
    </row>
    <row r="243" ht="300" customHeight="1">
      <c r="A243" s="10" t="inlineStr">
        <is>
          <t>P29</t>
        </is>
      </c>
      <c r="B243" s="10" t="inlineStr">
        <is>
          <t>F7 — Mão no pescoço</t>
        </is>
      </c>
      <c r="C243" s="10" t="inlineStr">
        <is>
          <t>Origem: foto #7 (verde, 3/4, mão na nuca/gola)</t>
        </is>
      </c>
      <c r="D243" s="10" t="inlineStr">
        <is>
          <t>Modelo próprio · Cor: `dark navy blue` · Formato: 4:5</t>
        </is>
      </c>
      <c r="E243"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Three-quarter view to the camera's left, head tilted, looking into the camera; his left hand raised to the side of the neck near the collar, lifting the sleeve so the set-in shoulder seam stays in place. Framing from the head to upper thigh. CRITICAL: absolutely no text, no letters, no logos, no labels, no brand tags visible, no watermark, no graphic overlays, no icons. Plain garment exactly as described, correct anatomy, five fingers per hand.</t>
        </is>
      </c>
      <c r="F243" s="11" t="inlineStr">
        <is>
          <t>A gerar</t>
        </is>
      </c>
    </row>
    <row r="244" ht="300" customHeight="1">
      <c r="A244" s="10" t="inlineStr">
        <is>
          <t>P29</t>
        </is>
      </c>
      <c r="B244" s="10" t="inlineStr">
        <is>
          <t>F8 — Frontal mão atrás</t>
        </is>
      </c>
      <c r="C244" s="10" t="inlineStr">
        <is>
          <t>Origem: foto #8 (verde, frontal)</t>
        </is>
      </c>
      <c r="D244" s="10" t="inlineStr">
        <is>
          <t>Modelo próprio · Cor: `dark navy blue` · Formato: 4:5</t>
        </is>
      </c>
      <c r="E244"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Frontal view, looking into the camera, left arm relaxed, right hand resting behind the hip. Framing from the head to upper thigh. CRITICAL: absolutely no text, no letters, no logos, no labels, no brand tags visible, no watermark, no graphic overlays, no icons. Plain garment exactly as described, correct anatomy, five fingers per hand.</t>
        </is>
      </c>
      <c r="F244" s="11" t="inlineStr">
        <is>
          <t>A gerar</t>
        </is>
      </c>
    </row>
    <row r="245" ht="300" customHeight="1">
      <c r="A245" s="10" t="inlineStr">
        <is>
          <t>P29</t>
        </is>
      </c>
      <c r="B245" s="10" t="inlineStr">
        <is>
          <t>F9 — Leve 3/4 verde</t>
        </is>
      </c>
      <c r="C245" s="10" t="inlineStr">
        <is>
          <t>Origem: foto #9 (verde, leve 3/4)</t>
        </is>
      </c>
      <c r="D245" s="10" t="inlineStr">
        <is>
          <t>Modelo próprio · Cor: `dark navy blue` · Formato: 4:5</t>
        </is>
      </c>
      <c r="E245"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Slight three-quarter view to the camera's left, face toward the camera, arms relaxed at the sides. Framing from the head to upper thigh. CRITICAL: absolutely no text, no letters, no logos, no labels, no brand tags visible, no watermark, no graphic overlays, no icons. Plain garment exactly as described, correct anatomy, five fingers per hand.</t>
        </is>
      </c>
      <c r="F245" s="11" t="inlineStr">
        <is>
          <t>A gerar</t>
        </is>
      </c>
    </row>
    <row r="246" ht="300" customHeight="1">
      <c r="A246" s="10" t="inlineStr">
        <is>
          <t>P29</t>
        </is>
      </c>
      <c r="B246" s="10" t="inlineStr">
        <is>
          <t>F10 — Detalhe gola com mão</t>
        </is>
      </c>
      <c r="C246" s="10" t="inlineStr">
        <is>
          <t>Origem: foto #10 (preto, recorte do nariz ao peito, mão na gola)</t>
        </is>
      </c>
      <c r="D246" s="10" t="inlineStr">
        <is>
          <t>Modelo próprio · Cor: `dark navy blue` · Formato: 4:5</t>
        </is>
      </c>
      <c r="E246"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Tight detail crop from the nose down to mid-chest; his left hand touches the side of the collar near the shoulder, showing the narrow ribbed crew neck and the smooth dense jersey. Macro sharpness on the rib and knit. CRITICAL: absolutely no text, no letters, no logos, no labels, no brand tags visible, no watermark, no graphic overlays, no icons. Plain garment exactly as described, correct anatomy, five fingers per hand.</t>
        </is>
      </c>
      <c r="F246" s="11" t="inlineStr">
        <is>
          <t>A gerar</t>
        </is>
      </c>
    </row>
    <row r="247" ht="300" customHeight="1">
      <c r="A247" s="10" t="inlineStr">
        <is>
          <t>P29</t>
        </is>
      </c>
      <c r="B247" s="10" t="inlineStr">
        <is>
          <t>F11 — Perfil ajustando o punho</t>
        </is>
      </c>
      <c r="C247" s="10" t="inlineStr">
        <is>
          <t>Origem: foto #11 (preto, 3/4, olhar para o lado)</t>
        </is>
      </c>
      <c r="D247" s="10" t="inlineStr">
        <is>
          <t>Modelo próprio · Cor: `dark navy blue` · Formato: 4:5</t>
        </is>
      </c>
      <c r="E247"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Three-quarter view to the camera's right, head turned to his right (camera left) looking off-camera; his right hand adjusts the left sleeve hem in front of the waist. Framing from the head to upper thigh. CRITICAL: absolutely no text, no letters, no logos, no labels, no brand tags visible, no watermark, no graphic overlays, no icons. Plain garment exactly as described, correct anatomy, five fingers per hand.</t>
        </is>
      </c>
      <c r="F247" s="11" t="inlineStr">
        <is>
          <t>A gerar</t>
        </is>
      </c>
    </row>
    <row r="248" ht="300" customHeight="1">
      <c r="A248" s="10" t="inlineStr">
        <is>
          <t>P29</t>
        </is>
      </c>
      <c r="B248" s="10" t="inlineStr">
        <is>
          <t>F12 — Frontal preto</t>
        </is>
      </c>
      <c r="C248" s="10" t="inlineStr">
        <is>
          <t>Origem: foto #12 (preto, frontal)</t>
        </is>
      </c>
      <c r="D248" s="10" t="inlineStr">
        <is>
          <t>Modelo próprio · Cor: `dark navy blue` · Formato: 4:5</t>
        </is>
      </c>
      <c r="E248" s="10" t="inlineStr">
        <is>
          <t>Professional e-commerce fashion catalog photo. Seamless light cool-gray studio backdrop (approx. #CDCDD0), high-key soft diffused lighting from a large softbox slightly left of camera plus gentle fill, very soft shadow, no hard shadows, neutral color-accurate white balance. Shot on full-frame camera, 85mm lens, f/8, eye-level to chest-level camera height, tack-sharp focus on the fabric texture, natural skin with real pores, no retouched plastic look. The model is a Caucasian Brazilian man in his early 30s, athletic-lean build, medium-length dark brown hair slicked back and tied into a low bun, short groomed beard with moustache, defined eyebrows, serious calm expression; the long sleeves cover his arms (no tattoos visible). He wears a regular-fit long-sleeve crewneck t-shirt in heavyweight 300gsm two-ply single jersey, dark navy blue, smooth dense knit with a soft subtle satin touch, set-in sleeves with the shoulder seam on the shoulder point, narrow ribbed crew neck about 2 cm wide, long sleeves ending in a plain turned hem at the wrist (no ribbed cuff), straight double-stitched bottom hem at the hip (no ribbed band), smooth on the inside (not fleece), tucked out, paired with black slim jeans. Fabric and construction: heavyweight 300gsm two-ply single jersey, smooth on both faces (no fleece inside) — dense and fully opaque, with enough body to hang straight from the shoulders and form a few soft vertical folds on the torso; the long sleeves bunch in soft horizontal ripples along the forearm above the wrist. Mostly matte, with a faint satin glow only on fold highlights. Narrow ribbed crew neck lying flat; shoulder-to-shoulder internal tape; plain turned hems at the cuffs and bottom with double-needle topstitching. Movement: heavy and fluid — when the arms bend, rounded folds gather at the inner elbow and the sleeve stacks gently at the wrist. Fit on the model (size M on a 1.84 m, 84 kg man): regular fit — body length 72 cm ending at the hip; chest width 54 cm flat (about 108 cm around) with easy room; shoulder width 46 cm with the seam on the shoulder point; sleeve 62 cm from shoulder to cuff end, reaching the wrist bone with slight stacking. Frontal, symmetrical stance, direct gaze into the camera, arms relaxed at the sides with fingers curled. Framing from the head to upper thigh. CRITICAL: absolutely no text, no letters, no logos, no labels, no brand tags visible, no watermark, no graphic overlays, no icons. Plain garment exactly as described, correct anatomy, five fingers per hand.</t>
        </is>
      </c>
      <c r="F248" s="11" t="inlineStr">
        <is>
          <t>A gerar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2026-09-30T04:16:39Z</dcterms:created>
  <dcterms:modified xmlns:dcterms="http://purl.org/dc/terms/" xmlns:xsi="http://www.w3.org/2001/XMLSchema-instance" xsi:type="dcterms:W3CDTF">2026-09-30T04:16:39Z</dcterms:modified>
</cp:coreProperties>
</file>